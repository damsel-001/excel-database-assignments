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40" yWindow="30" windowWidth="19095" windowHeight="6930" activeTab="2"/>
  </bookViews>
  <sheets>
    <sheet name="Employee Performance" sheetId="1" r:id="rId1"/>
    <sheet name="Store Sales" sheetId="3" r:id="rId2"/>
    <sheet name="Store Sales 2" sheetId="2" r:id="rId3"/>
  </sheets>
  <calcPr calcId="124519"/>
</workbook>
</file>

<file path=xl/calcChain.xml><?xml version="1.0" encoding="utf-8"?>
<calcChain xmlns="http://schemas.openxmlformats.org/spreadsheetml/2006/main">
  <c r="L22" i="2"/>
  <c r="L20"/>
  <c r="L21"/>
  <c r="L19"/>
  <c r="I13"/>
  <c r="I14"/>
  <c r="I15"/>
  <c r="I16"/>
  <c r="I17"/>
  <c r="I18"/>
  <c r="I19"/>
  <c r="I20"/>
  <c r="I21"/>
  <c r="I3"/>
  <c r="I4"/>
  <c r="I5"/>
  <c r="I6"/>
  <c r="I7"/>
  <c r="I8"/>
  <c r="I9"/>
  <c r="I10"/>
  <c r="I11"/>
  <c r="I12"/>
  <c r="I2"/>
  <c r="L18"/>
  <c r="L17"/>
  <c r="L16"/>
  <c r="L15"/>
  <c r="L14"/>
  <c r="L13"/>
  <c r="L12"/>
  <c r="L11"/>
  <c r="J16" i="1"/>
  <c r="I16"/>
  <c r="H16"/>
  <c r="J15"/>
  <c r="I15"/>
  <c r="H15"/>
  <c r="J14"/>
  <c r="I14"/>
  <c r="H14"/>
  <c r="J13"/>
  <c r="I13"/>
  <c r="H13"/>
  <c r="J12"/>
  <c r="I12"/>
  <c r="H12"/>
  <c r="J11"/>
  <c r="I11"/>
  <c r="H11"/>
  <c r="J10"/>
  <c r="I10"/>
  <c r="H10"/>
  <c r="J9"/>
  <c r="I9"/>
  <c r="H9"/>
  <c r="J8"/>
  <c r="I8"/>
  <c r="H8"/>
  <c r="J7"/>
  <c r="I7"/>
  <c r="H7"/>
  <c r="J6"/>
  <c r="I6"/>
  <c r="H6"/>
  <c r="J5"/>
  <c r="I5"/>
  <c r="H5"/>
  <c r="J4"/>
  <c r="I4"/>
  <c r="H4"/>
  <c r="J3"/>
  <c r="I3"/>
  <c r="H3"/>
  <c r="J2"/>
  <c r="I2"/>
  <c r="H2"/>
</calcChain>
</file>

<file path=xl/sharedStrings.xml><?xml version="1.0" encoding="utf-8"?>
<sst xmlns="http://schemas.openxmlformats.org/spreadsheetml/2006/main" count="324" uniqueCount="108">
  <si>
    <t>Employee ID</t>
  </si>
  <si>
    <t>Employee Name</t>
  </si>
  <si>
    <t>Department</t>
  </si>
  <si>
    <t>Monthly Sales</t>
  </si>
  <si>
    <t>Attendance %</t>
  </si>
  <si>
    <t>Customer Rating</t>
  </si>
  <si>
    <t>Years of Service</t>
  </si>
  <si>
    <t>Performance Status</t>
  </si>
  <si>
    <t>Bonus Eligibility</t>
  </si>
  <si>
    <t>Performance Grade</t>
  </si>
  <si>
    <t>E001</t>
  </si>
  <si>
    <t>Ada Okoro</t>
  </si>
  <si>
    <t>Sales</t>
  </si>
  <si>
    <t>E002</t>
  </si>
  <si>
    <t>Daniel James</t>
  </si>
  <si>
    <t>E003</t>
  </si>
  <si>
    <t>Mercy David</t>
  </si>
  <si>
    <t>Marketing</t>
  </si>
  <si>
    <t>E004</t>
  </si>
  <si>
    <t>John Peter</t>
  </si>
  <si>
    <t>E005</t>
  </si>
  <si>
    <t>Grace Brown</t>
  </si>
  <si>
    <t>HR</t>
  </si>
  <si>
    <t>E006</t>
  </si>
  <si>
    <t>Michael John</t>
  </si>
  <si>
    <t>E007</t>
  </si>
  <si>
    <t>Esther Paul</t>
  </si>
  <si>
    <t>E008</t>
  </si>
  <si>
    <t>Samuel King</t>
  </si>
  <si>
    <t>Finance</t>
  </si>
  <si>
    <t>E009</t>
  </si>
  <si>
    <t>Favour James</t>
  </si>
  <si>
    <t>E010</t>
  </si>
  <si>
    <t>David Cole</t>
  </si>
  <si>
    <t>E011</t>
  </si>
  <si>
    <t>Anita George</t>
  </si>
  <si>
    <t>E012</t>
  </si>
  <si>
    <t>Peter Adams</t>
  </si>
  <si>
    <t>E013</t>
  </si>
  <si>
    <t>Sharon Obi</t>
  </si>
  <si>
    <t>E014</t>
  </si>
  <si>
    <t>Kelvin Mark</t>
  </si>
  <si>
    <t>E015</t>
  </si>
  <si>
    <t>Blessing Eze</t>
  </si>
  <si>
    <t>Order ID</t>
  </si>
  <si>
    <t>Salesperson</t>
  </si>
  <si>
    <t>Region</t>
  </si>
  <si>
    <t>Product</t>
  </si>
  <si>
    <t>Category</t>
  </si>
  <si>
    <t>Units Sold</t>
  </si>
  <si>
    <t>Sales Amount</t>
  </si>
  <si>
    <t>Payment Status</t>
  </si>
  <si>
    <t>O001</t>
  </si>
  <si>
    <t>Ada</t>
  </si>
  <si>
    <t>South</t>
  </si>
  <si>
    <t>Laptop</t>
  </si>
  <si>
    <t>Electronics</t>
  </si>
  <si>
    <t>Paid</t>
  </si>
  <si>
    <t>O002</t>
  </si>
  <si>
    <t>John</t>
  </si>
  <si>
    <t>West</t>
  </si>
  <si>
    <t>Phone</t>
  </si>
  <si>
    <t>O003</t>
  </si>
  <si>
    <t>Mercy</t>
  </si>
  <si>
    <t>Printer</t>
  </si>
  <si>
    <t>Office</t>
  </si>
  <si>
    <t>Pending</t>
  </si>
  <si>
    <t>O004</t>
  </si>
  <si>
    <t>David</t>
  </si>
  <si>
    <t>East</t>
  </si>
  <si>
    <t>O005</t>
  </si>
  <si>
    <t>Grace</t>
  </si>
  <si>
    <t>Desk</t>
  </si>
  <si>
    <t>Furniture</t>
  </si>
  <si>
    <t>O006</t>
  </si>
  <si>
    <t>Peter</t>
  </si>
  <si>
    <t>O007</t>
  </si>
  <si>
    <t>Anita</t>
  </si>
  <si>
    <t>Chair</t>
  </si>
  <si>
    <t>O008</t>
  </si>
  <si>
    <t>Samuel</t>
  </si>
  <si>
    <t>O009</t>
  </si>
  <si>
    <t>Favour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</si>
  <si>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</si>
  <si>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</si>
  <si>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</si>
  <si>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</si>
  <si>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</si>
  <si>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</si>
  <si>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</si>
  <si>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</si>
  <si>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</si>
  <si>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</si>
  <si>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</si>
  <si>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How Many Orders were Made In The South Region</t>
  </si>
  <si>
    <t>How Many Orders have a Paid Payment Status</t>
  </si>
  <si>
    <t>How Many Orders were Elecronics Products</t>
  </si>
  <si>
    <t>Total Sales Amount generated in the South Region</t>
  </si>
  <si>
    <t>Total Sales Amount generated from Electronics</t>
  </si>
  <si>
    <t>Total Sales Amount generated by Ada</t>
  </si>
  <si>
    <t>How Many Paid Orders were Made In The South</t>
  </si>
  <si>
    <t>How Many Electronics Orders were Made The West</t>
  </si>
  <si>
    <t>How Many Orders had Sales Amount greater than #500,000</t>
  </si>
  <si>
    <t>Sales Amount greater than 500000 =Pass</t>
  </si>
  <si>
    <t>Sales Amount lesser than 500000 =fail</t>
  </si>
  <si>
    <t>Total Sales Amount for Electronics products in the South</t>
  </si>
  <si>
    <t>Total Sales Amount for Paid Orders in the South</t>
  </si>
  <si>
    <t>Total Sales Amount generated by Ada from Paid orders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</si>
</sst>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1"/>
      <scheme val="minor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J16"/>
  <sheetViews>
    <sheetView workbookViewId="0">
      <selection sqref="A1:XFD1048576"/>
    </sheetView>
  </sheetViews>
  <sheetFormatPr defaultRowHeight="15"/>
  <cols>
    <col min="1" max="1" width="12.140625" bestFit="1" customWidth="1"/>
    <col min="2" max="2" width="15.7109375" bestFit="1" customWidth="1"/>
    <col min="3" max="3" width="11.7109375" bestFit="1" customWidth="1"/>
    <col min="4" max="4" width="13.7109375" bestFit="1" customWidth="1"/>
    <col min="5" max="5" width="13.42578125" bestFit="1" customWidth="1"/>
    <col min="6" max="6" width="15.7109375" bestFit="1" customWidth="1"/>
    <col min="7" max="7" width="15.140625" bestFit="1" customWidth="1"/>
    <col min="8" max="8" width="18.5703125" bestFit="1" customWidth="1"/>
    <col min="9" max="9" width="15.28515625" bestFit="1" customWidth="1"/>
    <col min="10" max="10" width="18.57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11</v>
      </c>
      <c r="C2" t="s">
        <v>12</v>
      </c>
      <c r="D2">
        <v>850000</v>
      </c>
      <c r="E2">
        <v>96</v>
      </c>
      <c r="F2">
        <v>4.8</v>
      </c>
      <c r="G2">
        <v>5</v>
      </c>
      <c r="H2" t="str">
        <f>IF(AND(D2&gt;=700000,E2&gt;=95),"Excellent","Standard")</f>
        <v>Excellent</v>
      </c>
      <c r="I2" t="str">
        <f>IF(AND(D2&gt;=600000,F2&gt;=4.5),"eligible","ineligible")</f>
        <v>eligible</v>
      </c>
      <c r="J2" t="str">
        <f>IF(D2&gt;=800000,"A",IF(D2&gt;=600000,"B",IF(D2&gt;=400000,"C","D")))</f>
        <v>A</v>
      </c>
    </row>
    <row r="3" spans="1:10">
      <c r="A3" t="s">
        <v>13</v>
      </c>
      <c r="B3" t="s">
        <v>14</v>
      </c>
      <c r="C3" t="s">
        <v>12</v>
      </c>
      <c r="D3">
        <v>620000</v>
      </c>
      <c r="E3">
        <v>89</v>
      </c>
      <c r="F3">
        <v>4.0999999999999996</v>
      </c>
      <c r="G3">
        <v>3</v>
      </c>
      <c r="H3" t="str">
        <f t="shared" ref="H3:H16" si="0">IF(AND(D3&gt;=700000,E3&gt;=95),"Excellent","Standard")</f>
        <v>Standard</v>
      </c>
      <c r="I3" t="str">
        <f t="shared" ref="I3:I16" si="1">IF(AND(D3&gt;=600000,F3&gt;=4.5),"eligible","ineligible")</f>
        <v>ineligible</v>
      </c>
      <c r="J3" t="str">
        <f t="shared" ref="J3:J16" si="2">IF(D3&gt;=800000,"A",IF(D3&gt;=600000,"B",IF(D3&gt;=400000,"C","D")))</f>
        <v>B</v>
      </c>
    </row>
    <row r="4" spans="1:10">
      <c r="A4" t="s">
        <v>15</v>
      </c>
      <c r="B4" t="s">
        <v>16</v>
      </c>
      <c r="C4" t="s">
        <v>17</v>
      </c>
      <c r="D4">
        <v>450000</v>
      </c>
      <c r="E4">
        <v>94</v>
      </c>
      <c r="F4">
        <v>4.5</v>
      </c>
      <c r="G4">
        <v>4</v>
      </c>
      <c r="H4" t="str">
        <f t="shared" si="0"/>
        <v>Standard</v>
      </c>
      <c r="I4" t="str">
        <f t="shared" si="1"/>
        <v>ineligible</v>
      </c>
      <c r="J4" t="str">
        <f t="shared" si="2"/>
        <v>C</v>
      </c>
    </row>
    <row r="5" spans="1:10">
      <c r="A5" t="s">
        <v>18</v>
      </c>
      <c r="B5" t="s">
        <v>19</v>
      </c>
      <c r="C5" t="s">
        <v>12</v>
      </c>
      <c r="D5">
        <v>920000</v>
      </c>
      <c r="E5">
        <v>98</v>
      </c>
      <c r="F5">
        <v>4.9000000000000004</v>
      </c>
      <c r="G5">
        <v>7</v>
      </c>
      <c r="H5" t="str">
        <f t="shared" si="0"/>
        <v>Excellent</v>
      </c>
      <c r="I5" t="str">
        <f t="shared" si="1"/>
        <v>eligible</v>
      </c>
      <c r="J5" t="str">
        <f t="shared" si="2"/>
        <v>A</v>
      </c>
    </row>
    <row r="6" spans="1:10">
      <c r="A6" t="s">
        <v>20</v>
      </c>
      <c r="B6" t="s">
        <v>21</v>
      </c>
      <c r="C6" t="s">
        <v>22</v>
      </c>
      <c r="D6">
        <v>380000</v>
      </c>
      <c r="E6">
        <v>91</v>
      </c>
      <c r="F6">
        <v>4</v>
      </c>
      <c r="G6">
        <v>2</v>
      </c>
      <c r="H6" t="str">
        <f t="shared" si="0"/>
        <v>Standard</v>
      </c>
      <c r="I6" t="str">
        <f t="shared" si="1"/>
        <v>ineligible</v>
      </c>
      <c r="J6" t="str">
        <f t="shared" si="2"/>
        <v>D</v>
      </c>
    </row>
    <row r="7" spans="1:10">
      <c r="A7" t="s">
        <v>23</v>
      </c>
      <c r="B7" t="s">
        <v>24</v>
      </c>
      <c r="C7" t="s">
        <v>17</v>
      </c>
      <c r="D7">
        <v>710000</v>
      </c>
      <c r="E7">
        <v>86</v>
      </c>
      <c r="F7">
        <v>4.3</v>
      </c>
      <c r="G7">
        <v>6</v>
      </c>
      <c r="H7" t="str">
        <f t="shared" si="0"/>
        <v>Standard</v>
      </c>
      <c r="I7" t="str">
        <f t="shared" si="1"/>
        <v>ineligible</v>
      </c>
      <c r="J7" t="str">
        <f t="shared" si="2"/>
        <v>B</v>
      </c>
    </row>
    <row r="8" spans="1:10">
      <c r="A8" t="s">
        <v>25</v>
      </c>
      <c r="B8" t="s">
        <v>26</v>
      </c>
      <c r="C8" t="s">
        <v>12</v>
      </c>
      <c r="D8">
        <v>550000</v>
      </c>
      <c r="E8">
        <v>97</v>
      </c>
      <c r="F8">
        <v>4.7</v>
      </c>
      <c r="G8">
        <v>4</v>
      </c>
      <c r="H8" t="str">
        <f t="shared" si="0"/>
        <v>Standard</v>
      </c>
      <c r="I8" t="str">
        <f t="shared" si="1"/>
        <v>ineligible</v>
      </c>
      <c r="J8" t="str">
        <f t="shared" si="2"/>
        <v>C</v>
      </c>
    </row>
    <row r="9" spans="1:10">
      <c r="A9" t="s">
        <v>27</v>
      </c>
      <c r="B9" t="s">
        <v>28</v>
      </c>
      <c r="C9" t="s">
        <v>29</v>
      </c>
      <c r="D9">
        <v>480000</v>
      </c>
      <c r="E9">
        <v>88</v>
      </c>
      <c r="F9">
        <v>3.9</v>
      </c>
      <c r="G9">
        <v>3</v>
      </c>
      <c r="H9" t="str">
        <f t="shared" si="0"/>
        <v>Standard</v>
      </c>
      <c r="I9" t="str">
        <f t="shared" si="1"/>
        <v>ineligible</v>
      </c>
      <c r="J9" t="str">
        <f t="shared" si="2"/>
        <v>C</v>
      </c>
    </row>
    <row r="10" spans="1:10">
      <c r="A10" t="s">
        <v>30</v>
      </c>
      <c r="B10" t="s">
        <v>31</v>
      </c>
      <c r="C10" t="s">
        <v>17</v>
      </c>
      <c r="D10">
        <v>800000</v>
      </c>
      <c r="E10">
        <v>95</v>
      </c>
      <c r="F10">
        <v>4.5999999999999996</v>
      </c>
      <c r="G10">
        <v>5</v>
      </c>
      <c r="H10" t="str">
        <f t="shared" si="0"/>
        <v>Excellent</v>
      </c>
      <c r="I10" t="str">
        <f t="shared" si="1"/>
        <v>eligible</v>
      </c>
      <c r="J10" t="str">
        <f t="shared" si="2"/>
        <v>A</v>
      </c>
    </row>
    <row r="11" spans="1:10">
      <c r="A11" t="s">
        <v>32</v>
      </c>
      <c r="B11" t="s">
        <v>33</v>
      </c>
      <c r="C11" t="s">
        <v>12</v>
      </c>
      <c r="D11">
        <v>690000</v>
      </c>
      <c r="E11">
        <v>93</v>
      </c>
      <c r="F11">
        <v>4.2</v>
      </c>
      <c r="G11">
        <v>2</v>
      </c>
      <c r="H11" t="str">
        <f t="shared" si="0"/>
        <v>Standard</v>
      </c>
      <c r="I11" t="str">
        <f t="shared" si="1"/>
        <v>ineligible</v>
      </c>
      <c r="J11" t="str">
        <f t="shared" si="2"/>
        <v>B</v>
      </c>
    </row>
    <row r="12" spans="1:10">
      <c r="A12" t="s">
        <v>34</v>
      </c>
      <c r="B12" t="s">
        <v>35</v>
      </c>
      <c r="C12" t="s">
        <v>22</v>
      </c>
      <c r="D12">
        <v>420000</v>
      </c>
      <c r="E12">
        <v>96</v>
      </c>
      <c r="F12">
        <v>4.4000000000000004</v>
      </c>
      <c r="G12">
        <v>6</v>
      </c>
      <c r="H12" t="str">
        <f t="shared" si="0"/>
        <v>Standard</v>
      </c>
      <c r="I12" t="str">
        <f t="shared" si="1"/>
        <v>ineligible</v>
      </c>
      <c r="J12" t="str">
        <f t="shared" si="2"/>
        <v>C</v>
      </c>
    </row>
    <row r="13" spans="1:10">
      <c r="A13" t="s">
        <v>36</v>
      </c>
      <c r="B13" t="s">
        <v>37</v>
      </c>
      <c r="C13" t="s">
        <v>29</v>
      </c>
      <c r="D13">
        <v>760000</v>
      </c>
      <c r="E13">
        <v>90</v>
      </c>
      <c r="F13">
        <v>4.8</v>
      </c>
      <c r="G13">
        <v>8</v>
      </c>
      <c r="H13" t="str">
        <f t="shared" si="0"/>
        <v>Standard</v>
      </c>
      <c r="I13" t="str">
        <f t="shared" si="1"/>
        <v>eligible</v>
      </c>
      <c r="J13" t="str">
        <f t="shared" si="2"/>
        <v>B</v>
      </c>
    </row>
    <row r="14" spans="1:10">
      <c r="A14" t="s">
        <v>38</v>
      </c>
      <c r="B14" t="s">
        <v>39</v>
      </c>
      <c r="C14" t="s">
        <v>12</v>
      </c>
      <c r="D14">
        <v>510000</v>
      </c>
      <c r="E14">
        <v>85</v>
      </c>
      <c r="F14">
        <v>4</v>
      </c>
      <c r="G14">
        <v>1</v>
      </c>
      <c r="H14" t="str">
        <f t="shared" si="0"/>
        <v>Standard</v>
      </c>
      <c r="I14" t="str">
        <f t="shared" si="1"/>
        <v>ineligible</v>
      </c>
      <c r="J14" t="str">
        <f t="shared" si="2"/>
        <v>C</v>
      </c>
    </row>
    <row r="15" spans="1:10">
      <c r="A15" t="s">
        <v>40</v>
      </c>
      <c r="B15" t="s">
        <v>41</v>
      </c>
      <c r="C15" t="s">
        <v>17</v>
      </c>
      <c r="D15">
        <v>880000</v>
      </c>
      <c r="E15">
        <v>97</v>
      </c>
      <c r="F15">
        <v>4.9000000000000004</v>
      </c>
      <c r="G15">
        <v>9</v>
      </c>
      <c r="H15" t="str">
        <f t="shared" si="0"/>
        <v>Excellent</v>
      </c>
      <c r="I15" t="str">
        <f t="shared" si="1"/>
        <v>eligible</v>
      </c>
      <c r="J15" t="str">
        <f t="shared" si="2"/>
        <v>A</v>
      </c>
    </row>
    <row r="16" spans="1:10">
      <c r="A16" t="s">
        <v>42</v>
      </c>
      <c r="B16" t="s">
        <v>43</v>
      </c>
      <c r="C16" t="s">
        <v>29</v>
      </c>
      <c r="D16">
        <v>600000</v>
      </c>
      <c r="E16">
        <v>92</v>
      </c>
      <c r="F16">
        <v>4.5</v>
      </c>
      <c r="G16">
        <v>4</v>
      </c>
      <c r="H16" t="str">
        <f t="shared" si="0"/>
        <v>Standard</v>
      </c>
      <c r="I16" t="str">
        <f t="shared" si="1"/>
        <v>eligible</v>
      </c>
      <c r="J16" t="str">
        <f t="shared" si="2"/>
        <v>B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"/>
  <dimension ref="A1:H21"/>
  <sheetViews>
    <sheetView topLeftCell="A3" workbookViewId="0">
      <selection activeCell="G23" sqref="G23"/>
    </sheetView>
  </sheetViews>
  <sheetFormatPr defaultRowHeight="15"/>
  <cols>
    <col min="1" max="1" width="8.42578125" bestFit="1" customWidth="1"/>
    <col min="2" max="2" width="11.7109375" bestFit="1" customWidth="1"/>
    <col min="3" max="3" width="7.140625" bestFit="1" customWidth="1"/>
    <col min="4" max="4" width="7.85546875" bestFit="1" customWidth="1"/>
    <col min="5" max="5" width="10.5703125" bestFit="1" customWidth="1"/>
    <col min="6" max="6" width="10" bestFit="1" customWidth="1"/>
    <col min="7" max="7" width="13.28515625" bestFit="1" customWidth="1"/>
    <col min="8" max="8" width="14.85546875" bestFit="1" customWidth="1"/>
  </cols>
  <sheetData>
    <row r="1" spans="1:8">
      <c r="A1" s="1"/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</row>
    <row r="2" spans="1:8">
      <c r="A2" t="s">
        <v>52</v>
      </c>
      <c r="B2" t="s">
        <v>53</v>
      </c>
      <c r="C2" t="s">
        <v>54</v>
      </c>
      <c r="D2" t="s">
        <v>55</v>
      </c>
      <c r="E2" t="s">
        <v>56</v>
      </c>
      <c r="F2">
        <v>5</v>
      </c>
      <c r="G2">
        <v>750000</v>
      </c>
      <c r="H2" t="s">
        <v>57</v>
      </c>
    </row>
    <row r="3" spans="1:8">
      <c r="A3" t="s">
        <v>58</v>
      </c>
      <c r="B3" t="s">
        <v>59</v>
      </c>
      <c r="C3" t="s">
        <v>60</v>
      </c>
      <c r="D3" t="s">
        <v>61</v>
      </c>
      <c r="E3" t="s">
        <v>56</v>
      </c>
      <c r="F3">
        <v>8</v>
      </c>
      <c r="G3">
        <v>480000</v>
      </c>
      <c r="H3" t="s">
        <v>57</v>
      </c>
    </row>
    <row r="4" spans="1:8">
      <c r="A4" t="s">
        <v>62</v>
      </c>
      <c r="B4" t="s">
        <v>63</v>
      </c>
      <c r="C4" t="s">
        <v>54</v>
      </c>
      <c r="D4" t="s">
        <v>64</v>
      </c>
      <c r="E4" t="s">
        <v>65</v>
      </c>
      <c r="F4">
        <v>4</v>
      </c>
      <c r="G4">
        <v>220000</v>
      </c>
      <c r="H4" t="s">
        <v>66</v>
      </c>
    </row>
    <row r="5" spans="1:8">
      <c r="A5" t="s">
        <v>67</v>
      </c>
      <c r="B5" t="s">
        <v>68</v>
      </c>
      <c r="C5" t="s">
        <v>69</v>
      </c>
      <c r="D5" t="s">
        <v>55</v>
      </c>
      <c r="E5" t="s">
        <v>56</v>
      </c>
      <c r="F5">
        <v>3</v>
      </c>
      <c r="G5">
        <v>450000</v>
      </c>
      <c r="H5" t="s">
        <v>57</v>
      </c>
    </row>
    <row r="6" spans="1:8">
      <c r="A6" t="s">
        <v>70</v>
      </c>
      <c r="B6" t="s">
        <v>71</v>
      </c>
      <c r="C6" t="s">
        <v>54</v>
      </c>
      <c r="D6" t="s">
        <v>72</v>
      </c>
      <c r="E6" t="s">
        <v>73</v>
      </c>
      <c r="F6">
        <v>6</v>
      </c>
      <c r="G6">
        <v>300000</v>
      </c>
      <c r="H6" t="s">
        <v>57</v>
      </c>
    </row>
    <row r="7" spans="1:8">
      <c r="A7" t="s">
        <v>74</v>
      </c>
      <c r="B7" t="s">
        <v>75</v>
      </c>
      <c r="C7" t="s">
        <v>60</v>
      </c>
      <c r="D7" t="s">
        <v>61</v>
      </c>
      <c r="E7" t="s">
        <v>56</v>
      </c>
      <c r="F7">
        <v>10</v>
      </c>
      <c r="G7">
        <v>600000</v>
      </c>
      <c r="H7" t="s">
        <v>66</v>
      </c>
    </row>
    <row r="8" spans="1:8">
      <c r="A8" t="s">
        <v>76</v>
      </c>
      <c r="B8" t="s">
        <v>77</v>
      </c>
      <c r="C8" t="s">
        <v>54</v>
      </c>
      <c r="D8" t="s">
        <v>78</v>
      </c>
      <c r="E8" t="s">
        <v>73</v>
      </c>
      <c r="F8">
        <v>8</v>
      </c>
      <c r="G8">
        <v>240000</v>
      </c>
      <c r="H8" t="s">
        <v>57</v>
      </c>
    </row>
    <row r="9" spans="1:8">
      <c r="A9" t="s">
        <v>79</v>
      </c>
      <c r="B9" t="s">
        <v>80</v>
      </c>
      <c r="C9" t="s">
        <v>69</v>
      </c>
      <c r="D9" t="s">
        <v>64</v>
      </c>
      <c r="E9" t="s">
        <v>65</v>
      </c>
      <c r="F9">
        <v>5</v>
      </c>
      <c r="G9">
        <v>275000</v>
      </c>
      <c r="H9" t="s">
        <v>66</v>
      </c>
    </row>
    <row r="10" spans="1:8">
      <c r="A10" t="s">
        <v>81</v>
      </c>
      <c r="B10" t="s">
        <v>82</v>
      </c>
      <c r="C10" t="s">
        <v>60</v>
      </c>
      <c r="D10" t="s">
        <v>55</v>
      </c>
      <c r="E10" t="s">
        <v>56</v>
      </c>
      <c r="F10">
        <v>4</v>
      </c>
      <c r="G10">
        <v>600000</v>
      </c>
      <c r="H10" t="s">
        <v>57</v>
      </c>
    </row>
    <row r="11" spans="1:8">
      <c r="A11" t="s">
        <v>83</v>
      </c>
      <c r="B11" t="s">
        <v>53</v>
      </c>
      <c r="C11" t="s">
        <v>54</v>
      </c>
      <c r="D11" t="s">
        <v>61</v>
      </c>
      <c r="E11" t="s">
        <v>56</v>
      </c>
      <c r="F11">
        <v>7</v>
      </c>
      <c r="G11">
        <v>420000</v>
      </c>
      <c r="H11" t="s">
        <v>57</v>
      </c>
    </row>
    <row r="12" spans="1:8">
      <c r="A12" t="s">
        <v>84</v>
      </c>
      <c r="B12" t="s">
        <v>59</v>
      </c>
      <c r="C12" t="s">
        <v>69</v>
      </c>
      <c r="D12" t="s">
        <v>72</v>
      </c>
      <c r="E12" t="s">
        <v>73</v>
      </c>
      <c r="F12">
        <v>5</v>
      </c>
      <c r="G12">
        <v>250000</v>
      </c>
      <c r="H12" t="s">
        <v>66</v>
      </c>
    </row>
    <row r="13" spans="1:8">
      <c r="A13" t="s">
        <v>85</v>
      </c>
      <c r="B13" t="s">
        <v>63</v>
      </c>
      <c r="C13" t="s">
        <v>54</v>
      </c>
      <c r="D13" t="s">
        <v>55</v>
      </c>
      <c r="E13" t="s">
        <v>56</v>
      </c>
      <c r="F13">
        <v>6</v>
      </c>
      <c r="G13">
        <v>900000</v>
      </c>
      <c r="H13" t="s">
        <v>57</v>
      </c>
    </row>
    <row r="14" spans="1:8">
      <c r="A14" t="s">
        <v>86</v>
      </c>
      <c r="B14" t="s">
        <v>68</v>
      </c>
      <c r="C14" t="s">
        <v>60</v>
      </c>
      <c r="D14" t="s">
        <v>78</v>
      </c>
      <c r="E14" t="s">
        <v>73</v>
      </c>
      <c r="F14">
        <v>10</v>
      </c>
      <c r="G14">
        <v>300000</v>
      </c>
      <c r="H14" t="s">
        <v>57</v>
      </c>
    </row>
    <row r="15" spans="1:8">
      <c r="A15" t="s">
        <v>87</v>
      </c>
      <c r="B15" t="s">
        <v>71</v>
      </c>
      <c r="C15" t="s">
        <v>69</v>
      </c>
      <c r="D15" t="s">
        <v>61</v>
      </c>
      <c r="E15" t="s">
        <v>56</v>
      </c>
      <c r="F15">
        <v>6</v>
      </c>
      <c r="G15">
        <v>360000</v>
      </c>
      <c r="H15" t="s">
        <v>66</v>
      </c>
    </row>
    <row r="16" spans="1:8">
      <c r="A16" t="s">
        <v>88</v>
      </c>
      <c r="B16" t="s">
        <v>75</v>
      </c>
      <c r="C16" t="s">
        <v>54</v>
      </c>
      <c r="D16" t="s">
        <v>64</v>
      </c>
      <c r="E16" t="s">
        <v>65</v>
      </c>
      <c r="F16">
        <v>7</v>
      </c>
      <c r="G16">
        <v>385000</v>
      </c>
      <c r="H16" t="s">
        <v>57</v>
      </c>
    </row>
    <row r="17" spans="1:8">
      <c r="A17" t="s">
        <v>89</v>
      </c>
      <c r="B17" t="s">
        <v>77</v>
      </c>
      <c r="C17" t="s">
        <v>60</v>
      </c>
      <c r="D17" t="s">
        <v>55</v>
      </c>
      <c r="E17" t="s">
        <v>56</v>
      </c>
      <c r="F17">
        <v>5</v>
      </c>
      <c r="G17">
        <v>750000</v>
      </c>
      <c r="H17" t="s">
        <v>66</v>
      </c>
    </row>
    <row r="18" spans="1:8">
      <c r="A18" t="s">
        <v>90</v>
      </c>
      <c r="B18" t="s">
        <v>80</v>
      </c>
      <c r="C18" t="s">
        <v>54</v>
      </c>
      <c r="D18" t="s">
        <v>72</v>
      </c>
      <c r="E18" t="s">
        <v>73</v>
      </c>
      <c r="F18">
        <v>8</v>
      </c>
      <c r="G18">
        <v>400000</v>
      </c>
      <c r="H18" t="s">
        <v>57</v>
      </c>
    </row>
    <row r="19" spans="1:8">
      <c r="A19" t="s">
        <v>91</v>
      </c>
      <c r="B19" t="s">
        <v>82</v>
      </c>
      <c r="C19" t="s">
        <v>69</v>
      </c>
      <c r="D19" t="s">
        <v>61</v>
      </c>
      <c r="E19" t="s">
        <v>56</v>
      </c>
      <c r="F19">
        <v>9</v>
      </c>
      <c r="G19">
        <v>540000</v>
      </c>
      <c r="H19" t="s">
        <v>57</v>
      </c>
    </row>
    <row r="20" spans="1:8">
      <c r="A20" t="s">
        <v>92</v>
      </c>
      <c r="B20" t="s">
        <v>53</v>
      </c>
      <c r="C20" t="s">
        <v>60</v>
      </c>
      <c r="D20" t="s">
        <v>64</v>
      </c>
      <c r="E20" t="s">
        <v>65</v>
      </c>
      <c r="F20">
        <v>3</v>
      </c>
      <c r="G20">
        <v>165000</v>
      </c>
      <c r="H20" t="s">
        <v>66</v>
      </c>
    </row>
    <row r="21" spans="1:8">
      <c r="A21" t="s">
        <v>93</v>
      </c>
      <c r="B21" t="s">
        <v>59</v>
      </c>
      <c r="C21" t="s">
        <v>54</v>
      </c>
      <c r="D21" t="s">
        <v>55</v>
      </c>
      <c r="E21" t="s">
        <v>56</v>
      </c>
      <c r="F21">
        <v>4</v>
      </c>
      <c r="G21">
        <v>600000</v>
      </c>
      <c r="H21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/>
  <dimension ref="A1:L22"/>
  <sheetViews>
    <sheetView tabSelected="1" workbookViewId="0">
      <selection activeCell="J13" sqref="J13"/>
    </sheetView>
  </sheetViews>
  <sheetFormatPr defaultRowHeight="15"/>
  <cols>
    <col min="1" max="1" width="8.42578125" bestFit="1" customWidth="1"/>
    <col min="2" max="2" width="11.7109375" bestFit="1" customWidth="1"/>
    <col min="3" max="3" width="7.140625" bestFit="1" customWidth="1"/>
    <col min="4" max="4" width="7.85546875" bestFit="1" customWidth="1"/>
    <col min="5" max="5" width="10.5703125" bestFit="1" customWidth="1"/>
    <col min="6" max="6" width="10" bestFit="1" customWidth="1"/>
    <col min="7" max="7" width="13.28515625" bestFit="1" customWidth="1"/>
    <col min="8" max="8" width="14.85546875" bestFit="1" customWidth="1"/>
    <col min="9" max="9" width="4.85546875" bestFit="1" customWidth="1"/>
    <col min="10" max="10" width="9.140625" customWidth="1"/>
    <col min="11" max="11" width="53.7109375" bestFit="1" customWidth="1"/>
    <col min="12" max="14" width="8" bestFit="1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</row>
    <row r="2" spans="1:12">
      <c r="A2" t="s">
        <v>52</v>
      </c>
      <c r="B2" t="s">
        <v>53</v>
      </c>
      <c r="C2" t="s">
        <v>54</v>
      </c>
      <c r="D2" t="s">
        <v>55</v>
      </c>
      <c r="E2" t="s">
        <v>56</v>
      </c>
      <c r="F2">
        <v>5</v>
      </c>
      <c r="G2">
        <v>750000</v>
      </c>
      <c r="H2" t="s">
        <v>57</v>
      </c>
      <c r="I2" t="str">
        <f>IF(G2&gt;500000,"pass","fail")</f>
        <v>pass</v>
      </c>
    </row>
    <row r="3" spans="1:12">
      <c r="A3" t="s">
        <v>58</v>
      </c>
      <c r="B3" t="s">
        <v>59</v>
      </c>
      <c r="C3" t="s">
        <v>60</v>
      </c>
      <c r="D3" t="s">
        <v>61</v>
      </c>
      <c r="E3" t="s">
        <v>56</v>
      </c>
      <c r="F3">
        <v>8</v>
      </c>
      <c r="G3">
        <v>480000</v>
      </c>
      <c r="H3" t="s">
        <v>57</v>
      </c>
      <c r="I3" t="str">
        <f t="shared" ref="I3:I21" si="0">IF(G3&gt;500000,"pass","fail")</f>
        <v>fail</v>
      </c>
      <c r="K3" t="s">
        <v>103</v>
      </c>
    </row>
    <row r="4" spans="1:12">
      <c r="A4" t="s">
        <v>62</v>
      </c>
      <c r="B4" t="s">
        <v>63</v>
      </c>
      <c r="C4" t="s">
        <v>54</v>
      </c>
      <c r="D4" t="s">
        <v>64</v>
      </c>
      <c r="E4" t="s">
        <v>65</v>
      </c>
      <c r="F4">
        <v>4</v>
      </c>
      <c r="G4">
        <v>220000</v>
      </c>
      <c r="H4" t="s">
        <v>66</v>
      </c>
      <c r="I4" t="str">
        <f t="shared" si="0"/>
        <v>fail</v>
      </c>
      <c r="K4" t="s">
        <v>104</v>
      </c>
    </row>
    <row r="5" spans="1:12">
      <c r="A5" t="s">
        <v>67</v>
      </c>
      <c r="B5" t="s">
        <v>68</v>
      </c>
      <c r="C5" t="s">
        <v>69</v>
      </c>
      <c r="D5" t="s">
        <v>55</v>
      </c>
      <c r="E5" t="s">
        <v>56</v>
      </c>
      <c r="F5">
        <v>3</v>
      </c>
      <c r="G5">
        <v>450000</v>
      </c>
      <c r="H5" t="s">
        <v>57</v>
      </c>
      <c r="I5" t="str">
        <f t="shared" si="0"/>
        <v>fail</v>
      </c>
    </row>
    <row r="6" spans="1:12">
      <c r="A6" t="s">
        <v>70</v>
      </c>
      <c r="B6" t="s">
        <v>71</v>
      </c>
      <c r="C6" t="s">
        <v>54</v>
      </c>
      <c r="D6" t="s">
        <v>72</v>
      </c>
      <c r="E6" t="s">
        <v>73</v>
      </c>
      <c r="F6">
        <v>6</v>
      </c>
      <c r="G6">
        <v>300000</v>
      </c>
      <c r="H6" t="s">
        <v>57</v>
      </c>
      <c r="I6" t="str">
        <f t="shared" si="0"/>
        <v>fail</v>
      </c>
    </row>
    <row r="7" spans="1:12">
      <c r="A7" t="s">
        <v>74</v>
      </c>
      <c r="B7" t="s">
        <v>75</v>
      </c>
      <c r="C7" t="s">
        <v>60</v>
      </c>
      <c r="D7" t="s">
        <v>61</v>
      </c>
      <c r="E7" t="s">
        <v>56</v>
      </c>
      <c r="F7">
        <v>10</v>
      </c>
      <c r="G7">
        <v>600000</v>
      </c>
      <c r="H7" t="s">
        <v>66</v>
      </c>
      <c r="I7" t="str">
        <f t="shared" si="0"/>
        <v>pass</v>
      </c>
    </row>
    <row r="8" spans="1:12">
      <c r="A8" t="s">
        <v>76</v>
      </c>
      <c r="B8" t="s">
        <v>77</v>
      </c>
      <c r="C8" t="s">
        <v>54</v>
      </c>
      <c r="D8" t="s">
        <v>78</v>
      </c>
      <c r="E8" t="s">
        <v>73</v>
      </c>
      <c r="F8">
        <v>8</v>
      </c>
      <c r="G8">
        <v>240000</v>
      </c>
      <c r="H8" t="s">
        <v>57</v>
      </c>
      <c r="I8" t="str">
        <f t="shared" si="0"/>
        <v>fail</v>
      </c>
    </row>
    <row r="9" spans="1:12">
      <c r="A9" t="s">
        <v>79</v>
      </c>
      <c r="B9" t="s">
        <v>80</v>
      </c>
      <c r="C9" t="s">
        <v>69</v>
      </c>
      <c r="D9" t="s">
        <v>64</v>
      </c>
      <c r="E9" t="s">
        <v>65</v>
      </c>
      <c r="F9">
        <v>5</v>
      </c>
      <c r="G9">
        <v>275000</v>
      </c>
      <c r="H9" t="s">
        <v>66</v>
      </c>
      <c r="I9" t="str">
        <f t="shared" si="0"/>
        <v>fail</v>
      </c>
    </row>
    <row r="10" spans="1:12">
      <c r="A10" t="s">
        <v>81</v>
      </c>
      <c r="B10" t="s">
        <v>82</v>
      </c>
      <c r="C10" t="s">
        <v>60</v>
      </c>
      <c r="D10" t="s">
        <v>55</v>
      </c>
      <c r="E10" t="s">
        <v>56</v>
      </c>
      <c r="F10">
        <v>4</v>
      </c>
      <c r="G10">
        <v>600000</v>
      </c>
      <c r="H10" t="s">
        <v>57</v>
      </c>
      <c r="I10" t="str">
        <f t="shared" si="0"/>
        <v>pass</v>
      </c>
    </row>
    <row r="11" spans="1:12">
      <c r="A11" t="s">
        <v>83</v>
      </c>
      <c r="B11" t="s">
        <v>53</v>
      </c>
      <c r="C11" t="s">
        <v>54</v>
      </c>
      <c r="D11" t="s">
        <v>61</v>
      </c>
      <c r="E11" t="s">
        <v>56</v>
      </c>
      <c r="F11">
        <v>7</v>
      </c>
      <c r="G11">
        <v>420000</v>
      </c>
      <c r="H11" t="s">
        <v>57</v>
      </c>
      <c r="I11" t="str">
        <f t="shared" si="0"/>
        <v>fail</v>
      </c>
      <c r="K11" t="s">
        <v>94</v>
      </c>
      <c r="L11">
        <f>COUNTIF(C2:C21,C2)</f>
        <v>9</v>
      </c>
    </row>
    <row r="12" spans="1:12">
      <c r="A12" t="s">
        <v>84</v>
      </c>
      <c r="B12" t="s">
        <v>59</v>
      </c>
      <c r="C12" t="s">
        <v>69</v>
      </c>
      <c r="D12" t="s">
        <v>72</v>
      </c>
      <c r="E12" t="s">
        <v>73</v>
      </c>
      <c r="F12">
        <v>5</v>
      </c>
      <c r="G12">
        <v>250000</v>
      </c>
      <c r="H12" t="s">
        <v>66</v>
      </c>
      <c r="I12" t="str">
        <f t="shared" si="0"/>
        <v>fail</v>
      </c>
      <c r="K12" t="s">
        <v>95</v>
      </c>
      <c r="L12">
        <f>COUNTIF(H2:H21,H2)</f>
        <v>13</v>
      </c>
    </row>
    <row r="13" spans="1:12">
      <c r="A13" t="s">
        <v>85</v>
      </c>
      <c r="B13" t="s">
        <v>63</v>
      </c>
      <c r="C13" t="s">
        <v>54</v>
      </c>
      <c r="D13" t="s">
        <v>55</v>
      </c>
      <c r="E13" t="s">
        <v>56</v>
      </c>
      <c r="F13">
        <v>6</v>
      </c>
      <c r="G13">
        <v>900000</v>
      </c>
      <c r="H13" t="s">
        <v>57</v>
      </c>
      <c r="I13" t="str">
        <f>IF(G13&gt;500000,"pass","fail")</f>
        <v>pass</v>
      </c>
      <c r="K13" t="s">
        <v>96</v>
      </c>
      <c r="L13">
        <f>COUNTIF(E2:E21,E2)</f>
        <v>11</v>
      </c>
    </row>
    <row r="14" spans="1:12">
      <c r="A14" t="s">
        <v>86</v>
      </c>
      <c r="B14" t="s">
        <v>68</v>
      </c>
      <c r="C14" t="s">
        <v>60</v>
      </c>
      <c r="D14" t="s">
        <v>78</v>
      </c>
      <c r="E14" t="s">
        <v>73</v>
      </c>
      <c r="F14">
        <v>10</v>
      </c>
      <c r="G14">
        <v>300000</v>
      </c>
      <c r="H14" t="s">
        <v>57</v>
      </c>
      <c r="I14" t="str">
        <f t="shared" si="0"/>
        <v>fail</v>
      </c>
      <c r="K14" t="s">
        <v>97</v>
      </c>
      <c r="L14">
        <f>SUMIF(C2:C21,C2,G2:G21)</f>
        <v>4215000</v>
      </c>
    </row>
    <row r="15" spans="1:12">
      <c r="A15" t="s">
        <v>87</v>
      </c>
      <c r="B15" t="s">
        <v>71</v>
      </c>
      <c r="C15" t="s">
        <v>69</v>
      </c>
      <c r="D15" t="s">
        <v>61</v>
      </c>
      <c r="E15" t="s">
        <v>56</v>
      </c>
      <c r="F15">
        <v>6</v>
      </c>
      <c r="G15">
        <v>360000</v>
      </c>
      <c r="H15" t="s">
        <v>66</v>
      </c>
      <c r="I15" t="str">
        <f t="shared" si="0"/>
        <v>fail</v>
      </c>
      <c r="K15" t="s">
        <v>98</v>
      </c>
      <c r="L15">
        <f>SUMIF(E2:E21,E2,G2:G21)</f>
        <v>6450000</v>
      </c>
    </row>
    <row r="16" spans="1:12">
      <c r="A16" t="s">
        <v>88</v>
      </c>
      <c r="B16" t="s">
        <v>75</v>
      </c>
      <c r="C16" t="s">
        <v>54</v>
      </c>
      <c r="D16" t="s">
        <v>64</v>
      </c>
      <c r="E16" t="s">
        <v>65</v>
      </c>
      <c r="F16">
        <v>7</v>
      </c>
      <c r="G16">
        <v>385000</v>
      </c>
      <c r="H16" t="s">
        <v>57</v>
      </c>
      <c r="I16" t="str">
        <f t="shared" si="0"/>
        <v>fail</v>
      </c>
      <c r="K16" t="s">
        <v>99</v>
      </c>
      <c r="L16">
        <f>SUMIF(B2:B21,B2,G2:G21)</f>
        <v>1335000</v>
      </c>
    </row>
    <row r="17" spans="1:12">
      <c r="A17" t="s">
        <v>89</v>
      </c>
      <c r="B17" t="s">
        <v>77</v>
      </c>
      <c r="C17" t="s">
        <v>60</v>
      </c>
      <c r="D17" t="s">
        <v>55</v>
      </c>
      <c r="E17" t="s">
        <v>56</v>
      </c>
      <c r="F17">
        <v>5</v>
      </c>
      <c r="G17">
        <v>750000</v>
      </c>
      <c r="H17" t="s">
        <v>66</v>
      </c>
      <c r="I17" t="str">
        <f t="shared" si="0"/>
        <v>pass</v>
      </c>
      <c r="K17" t="s">
        <v>100</v>
      </c>
      <c r="L17">
        <f>COUNTIFS(H2:H21,H2,C2:C21,C2)</f>
        <v>8</v>
      </c>
    </row>
    <row r="18" spans="1:12">
      <c r="A18" t="s">
        <v>90</v>
      </c>
      <c r="B18" t="s">
        <v>80</v>
      </c>
      <c r="C18" t="s">
        <v>54</v>
      </c>
      <c r="D18" t="s">
        <v>72</v>
      </c>
      <c r="E18" t="s">
        <v>73</v>
      </c>
      <c r="F18">
        <v>8</v>
      </c>
      <c r="G18">
        <v>400000</v>
      </c>
      <c r="H18" t="s">
        <v>57</v>
      </c>
      <c r="I18" t="str">
        <f t="shared" si="0"/>
        <v>fail</v>
      </c>
      <c r="K18" t="s">
        <v>101</v>
      </c>
      <c r="L18">
        <f>COUNTIFS(E2:E21,E2,C2:C21,C3)</f>
        <v>4</v>
      </c>
    </row>
    <row r="19" spans="1:12">
      <c r="A19" t="s">
        <v>91</v>
      </c>
      <c r="B19" t="s">
        <v>82</v>
      </c>
      <c r="C19" t="s">
        <v>69</v>
      </c>
      <c r="D19" t="s">
        <v>61</v>
      </c>
      <c r="E19" t="s">
        <v>56</v>
      </c>
      <c r="F19">
        <v>9</v>
      </c>
      <c r="G19">
        <v>540000</v>
      </c>
      <c r="H19" t="s">
        <v>57</v>
      </c>
      <c r="I19" t="str">
        <f t="shared" si="0"/>
        <v>pass</v>
      </c>
      <c r="K19" t="s">
        <v>102</v>
      </c>
      <c r="L19" s="3">
        <f>COUNTIF(I2:I21,I2)</f>
        <v>7</v>
      </c>
    </row>
    <row r="20" spans="1:12">
      <c r="A20" t="s">
        <v>92</v>
      </c>
      <c r="B20" t="s">
        <v>53</v>
      </c>
      <c r="C20" t="s">
        <v>60</v>
      </c>
      <c r="D20" t="s">
        <v>64</v>
      </c>
      <c r="E20" t="s">
        <v>65</v>
      </c>
      <c r="F20">
        <v>3</v>
      </c>
      <c r="G20">
        <v>165000</v>
      </c>
      <c r="H20" t="s">
        <v>66</v>
      </c>
      <c r="I20" t="str">
        <f t="shared" si="0"/>
        <v>fail</v>
      </c>
      <c r="K20" t="s">
        <v>106</v>
      </c>
      <c r="L20" s="4">
        <f>SUMIFS(G2:G21,H2:H21,H2,C2:C21,C2)</f>
        <v>3995000</v>
      </c>
    </row>
    <row r="21" spans="1:12">
      <c r="A21" t="s">
        <v>93</v>
      </c>
      <c r="B21" t="s">
        <v>59</v>
      </c>
      <c r="C21" t="s">
        <v>54</v>
      </c>
      <c r="D21" t="s">
        <v>55</v>
      </c>
      <c r="E21" t="s">
        <v>56</v>
      </c>
      <c r="F21">
        <v>4</v>
      </c>
      <c r="G21">
        <v>600000</v>
      </c>
      <c r="H21" t="s">
        <v>57</v>
      </c>
      <c r="I21" t="str">
        <f t="shared" si="0"/>
        <v>pass</v>
      </c>
      <c r="K21" t="s">
        <v>105</v>
      </c>
      <c r="L21">
        <f>SUMIFS(G2:G21,E2:E21,E2,C2:C21,C2)</f>
        <v>2670000</v>
      </c>
    </row>
    <row r="22" spans="1:12">
      <c r="K22" t="s">
        <v>107</v>
      </c>
      <c r="L22">
        <f>SUMIFS(G2:G21,B2:B21,B2,H2:H21,H2)</f>
        <v>1170000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Performance</vt:lpstr>
      <vt:lpstr>Store Sales</vt:lpstr>
      <vt:lpstr>Store Sales 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2026-08-31T18:39:24Z</dcterms:created>
  <dcterms:modified xsi:type="dcterms:W3CDTF">2026-09-01T15:25:22Z</dcterms:modified>
</cp:coreProperties>
</file>