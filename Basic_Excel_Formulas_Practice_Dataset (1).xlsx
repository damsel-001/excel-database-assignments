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15" windowWidth="16335" windowHeight="9660"/>
  </bookViews>
  <sheets>
    <sheet name="Practice Data" sheetId="1" r:id="rId1"/>
    <sheet name="Sheet1" sheetId="2" r:id="rId2"/>
  </sheets>
  <calcPr calcId="124519"/>
</workbook>
</file>

<file path=xl/calcChain.xml><?xml version="1.0" encoding="utf-8"?>
<calcChain xmlns="http://schemas.openxmlformats.org/spreadsheetml/2006/main">
  <c r="F30" i="1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3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2"/>
  <c r="J14"/>
  <c r="J13"/>
  <c r="J12"/>
  <c r="J11"/>
  <c r="J10"/>
  <c r="J9"/>
  <c r="J8"/>
  <c r="J7"/>
  <c r="J6"/>
</calcChain>
</file>

<file path=xl/sharedStrings.xml><?xml version="1.0" encoding="utf-8"?>
<sst xmlns="http://schemas.openxmlformats.org/spreadsheetml/2006/main" count="215" uniqueCount="120">
  <si>
    <t>Student Name</t>
  </si>
  <si>
    <t>Department</t>
  </si>
  <si>
    <t>Age</t>
  </si>
  <si>
    <t>Test Score</t>
  </si>
  <si>
    <t>Attendance %</t>
  </si>
  <si>
    <t>Student 001</t>
  </si>
  <si>
    <t>Student 002</t>
  </si>
  <si>
    <t>Student 003</t>
  </si>
  <si>
    <t>Student 004</t>
  </si>
  <si>
    <t>Student 005</t>
  </si>
  <si>
    <t>Student 006</t>
  </si>
  <si>
    <t>Student 007</t>
  </si>
  <si>
    <t>Student 008</t>
  </si>
  <si>
    <t>Student 009</t>
  </si>
  <si>
    <t>Student 010</t>
  </si>
  <si>
    <t>Student 011</t>
  </si>
  <si>
    <t>Student 012</t>
  </si>
  <si>
    <t>Student 013</t>
  </si>
  <si>
    <t>Student 014</t>
  </si>
  <si>
    <t>Student 015</t>
  </si>
  <si>
    <t>Student 016</t>
  </si>
  <si>
    <t>Student 017</t>
  </si>
  <si>
    <t>Student 018</t>
  </si>
  <si>
    <t>Student 019</t>
  </si>
  <si>
    <t>Student 020</t>
  </si>
  <si>
    <t>Student 021</t>
  </si>
  <si>
    <t>Student 022</t>
  </si>
  <si>
    <t>Student 023</t>
  </si>
  <si>
    <t>Student 024</t>
  </si>
  <si>
    <t>Student 025</t>
  </si>
  <si>
    <t>Student 026</t>
  </si>
  <si>
    <t>Student 027</t>
  </si>
  <si>
    <t>Student 028</t>
  </si>
  <si>
    <t>Student 029</t>
  </si>
  <si>
    <t>Student 030</t>
  </si>
  <si>
    <t>Student 031</t>
  </si>
  <si>
    <t>Student 032</t>
  </si>
  <si>
    <t>Student 033</t>
  </si>
  <si>
    <t>Student 034</t>
  </si>
  <si>
    <t>Student 035</t>
  </si>
  <si>
    <t>Student 036</t>
  </si>
  <si>
    <t>Student 037</t>
  </si>
  <si>
    <t>Student 038</t>
  </si>
  <si>
    <t>Student 039</t>
  </si>
  <si>
    <t>Student 040</t>
  </si>
  <si>
    <t>Student 041</t>
  </si>
  <si>
    <t>Student 042</t>
  </si>
  <si>
    <t>Student 043</t>
  </si>
  <si>
    <t>Student 044</t>
  </si>
  <si>
    <t>Student 045</t>
  </si>
  <si>
    <t>Student 046</t>
  </si>
  <si>
    <t>Student 047</t>
  </si>
  <si>
    <t>Student 048</t>
  </si>
  <si>
    <t>Student 049</t>
  </si>
  <si>
    <t>Student 050</t>
  </si>
  <si>
    <t>Student 051</t>
  </si>
  <si>
    <t>Student 052</t>
  </si>
  <si>
    <t>Student 053</t>
  </si>
  <si>
    <t>Student 054</t>
  </si>
  <si>
    <t>Student 055</t>
  </si>
  <si>
    <t>Student 056</t>
  </si>
  <si>
    <t>Student 057</t>
  </si>
  <si>
    <t>Student 058</t>
  </si>
  <si>
    <t>Student 059</t>
  </si>
  <si>
    <t>Student 060</t>
  </si>
  <si>
    <t>Student 061</t>
  </si>
  <si>
    <t>Student 062</t>
  </si>
  <si>
    <t>Student 063</t>
  </si>
  <si>
    <t>Student 064</t>
  </si>
  <si>
    <t>Student 065</t>
  </si>
  <si>
    <t>Student 066</t>
  </si>
  <si>
    <t>Student 067</t>
  </si>
  <si>
    <t>Student 068</t>
  </si>
  <si>
    <t>Student 069</t>
  </si>
  <si>
    <t>Student 070</t>
  </si>
  <si>
    <t>Student 071</t>
  </si>
  <si>
    <t>Student 072</t>
  </si>
  <si>
    <t>Student 073</t>
  </si>
  <si>
    <t>Student 074</t>
  </si>
  <si>
    <t>Student 075</t>
  </si>
  <si>
    <t>Student 076</t>
  </si>
  <si>
    <t>Student 077</t>
  </si>
  <si>
    <t>Student 078</t>
  </si>
  <si>
    <t>Student 079</t>
  </si>
  <si>
    <t>Student 080</t>
  </si>
  <si>
    <t>Student 081</t>
  </si>
  <si>
    <t>Student 082</t>
  </si>
  <si>
    <t>Student 083</t>
  </si>
  <si>
    <t>Student 084</t>
  </si>
  <si>
    <t>Student 085</t>
  </si>
  <si>
    <t>Student 086</t>
  </si>
  <si>
    <t>Student 087</t>
  </si>
  <si>
    <t>Student 088</t>
  </si>
  <si>
    <t>Student 089</t>
  </si>
  <si>
    <t>Student 090</t>
  </si>
  <si>
    <t>Student 091</t>
  </si>
  <si>
    <t>Student 092</t>
  </si>
  <si>
    <t>Student 093</t>
  </si>
  <si>
    <t>Student 094</t>
  </si>
  <si>
    <t>Student 095</t>
  </si>
  <si>
    <t>Student 096</t>
  </si>
  <si>
    <t>Student 097</t>
  </si>
  <si>
    <t>Student 098</t>
  </si>
  <si>
    <t>Student 099</t>
  </si>
  <si>
    <t>Student 100</t>
  </si>
  <si>
    <t>Business Admin</t>
  </si>
  <si>
    <t>Engineering</t>
  </si>
  <si>
    <t>Computer Science</t>
  </si>
  <si>
    <t>Accounting</t>
  </si>
  <si>
    <t>Economics</t>
  </si>
  <si>
    <t>Total Test Score of all Students</t>
  </si>
  <si>
    <t>Total Attendance % of all Students</t>
  </si>
  <si>
    <t>Average Test Score of all Students</t>
  </si>
  <si>
    <t>Average Age of all Students</t>
  </si>
  <si>
    <t>Lowest Test Score</t>
  </si>
  <si>
    <t>Highest Test Score</t>
  </si>
  <si>
    <t>Total Values of Test Score</t>
  </si>
  <si>
    <t>Total Names of Students</t>
  </si>
  <si>
    <t>Total Blank Test Score</t>
  </si>
  <si>
    <t>Performance 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</si>
</sst>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2" fontId="1" fillId="0" borderId="2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J101"/>
  <sheetViews>
    <sheetView tabSelected="1" zoomScale="80" zoomScaleNormal="80" workbookViewId="0">
      <selection activeCell="F5" sqref="F5"/>
    </sheetView>
  </sheetViews>
  <sheetFormatPr defaultRowHeight="15"/>
  <cols>
    <col min="1" max="1" width="13.85546875" bestFit="1" customWidth="1"/>
    <col min="2" max="2" width="18.85546875" customWidth="1"/>
    <col min="4" max="4" width="11.140625" customWidth="1"/>
    <col min="5" max="5" width="13.28515625" customWidth="1"/>
    <col min="6" max="6" width="20.85546875" style="2" customWidth="1"/>
    <col min="9" max="9" width="35.42578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119</v>
      </c>
    </row>
    <row r="2" spans="1:10">
      <c r="A2" t="s">
        <v>5</v>
      </c>
      <c r="B2" t="s">
        <v>105</v>
      </c>
      <c r="C2">
        <v>29</v>
      </c>
      <c r="D2">
        <v>37</v>
      </c>
      <c r="E2">
        <v>83</v>
      </c>
      <c r="F2" s="2">
        <f>(D2/E2)*100</f>
        <v>44.578313253012048</v>
      </c>
    </row>
    <row r="3" spans="1:10">
      <c r="A3" t="s">
        <v>6</v>
      </c>
      <c r="B3" t="s">
        <v>106</v>
      </c>
      <c r="C3">
        <v>24</v>
      </c>
      <c r="D3">
        <v>90</v>
      </c>
      <c r="E3">
        <v>100</v>
      </c>
      <c r="F3" s="2">
        <f t="shared" ref="F3:F66" si="0">(D3/E3)*100</f>
        <v>90</v>
      </c>
    </row>
    <row r="4" spans="1:10">
      <c r="A4" t="s">
        <v>7</v>
      </c>
      <c r="B4" t="s">
        <v>107</v>
      </c>
      <c r="C4">
        <v>26</v>
      </c>
      <c r="D4">
        <v>93</v>
      </c>
      <c r="E4">
        <v>60</v>
      </c>
      <c r="F4" s="2">
        <f t="shared" si="0"/>
        <v>155</v>
      </c>
    </row>
    <row r="5" spans="1:10">
      <c r="A5" t="s">
        <v>8</v>
      </c>
      <c r="B5" t="s">
        <v>106</v>
      </c>
      <c r="C5">
        <v>25</v>
      </c>
      <c r="D5">
        <v>36</v>
      </c>
      <c r="E5">
        <v>89</v>
      </c>
      <c r="F5" s="2">
        <f t="shared" si="0"/>
        <v>40.449438202247187</v>
      </c>
    </row>
    <row r="6" spans="1:10">
      <c r="A6" t="s">
        <v>9</v>
      </c>
      <c r="B6" t="s">
        <v>106</v>
      </c>
      <c r="C6">
        <v>29</v>
      </c>
      <c r="D6">
        <v>36</v>
      </c>
      <c r="E6">
        <v>95</v>
      </c>
      <c r="F6" s="2">
        <f t="shared" si="0"/>
        <v>37.894736842105267</v>
      </c>
      <c r="I6" t="s">
        <v>110</v>
      </c>
      <c r="J6">
        <f>SUM(D2:D101)</f>
        <v>6167</v>
      </c>
    </row>
    <row r="7" spans="1:10">
      <c r="A7" t="s">
        <v>10</v>
      </c>
      <c r="B7" t="s">
        <v>108</v>
      </c>
      <c r="C7">
        <v>19</v>
      </c>
      <c r="D7">
        <v>88</v>
      </c>
      <c r="E7">
        <v>91</v>
      </c>
      <c r="F7" s="2">
        <f t="shared" si="0"/>
        <v>96.703296703296701</v>
      </c>
      <c r="I7" t="s">
        <v>111</v>
      </c>
      <c r="J7">
        <f>SUM(E2:E101)</f>
        <v>7545</v>
      </c>
    </row>
    <row r="8" spans="1:10">
      <c r="A8" t="s">
        <v>11</v>
      </c>
      <c r="B8" t="s">
        <v>107</v>
      </c>
      <c r="C8">
        <v>18</v>
      </c>
      <c r="D8">
        <v>35</v>
      </c>
      <c r="E8">
        <v>78</v>
      </c>
      <c r="F8" s="2">
        <f t="shared" si="0"/>
        <v>44.871794871794876</v>
      </c>
      <c r="I8" t="s">
        <v>113</v>
      </c>
      <c r="J8">
        <f>AVERAGE(C2:C101)</f>
        <v>24.4</v>
      </c>
    </row>
    <row r="9" spans="1:10">
      <c r="A9" t="s">
        <v>12</v>
      </c>
      <c r="B9" t="s">
        <v>107</v>
      </c>
      <c r="C9">
        <v>24</v>
      </c>
      <c r="E9">
        <v>83</v>
      </c>
      <c r="F9" s="2">
        <f t="shared" si="0"/>
        <v>0</v>
      </c>
      <c r="I9" t="s">
        <v>112</v>
      </c>
      <c r="J9">
        <f>AVERAGE(D2:D101)</f>
        <v>64.915789473684214</v>
      </c>
    </row>
    <row r="10" spans="1:10">
      <c r="A10" t="s">
        <v>13</v>
      </c>
      <c r="B10" t="s">
        <v>107</v>
      </c>
      <c r="C10">
        <v>24</v>
      </c>
      <c r="D10">
        <v>36</v>
      </c>
      <c r="E10">
        <v>100</v>
      </c>
      <c r="F10" s="2">
        <f t="shared" si="0"/>
        <v>36</v>
      </c>
      <c r="I10" t="s">
        <v>114</v>
      </c>
      <c r="J10">
        <f>MIN(D2:D101)</f>
        <v>35</v>
      </c>
    </row>
    <row r="11" spans="1:10">
      <c r="A11" t="s">
        <v>14</v>
      </c>
      <c r="B11" t="s">
        <v>106</v>
      </c>
      <c r="C11">
        <v>25</v>
      </c>
      <c r="D11">
        <v>87</v>
      </c>
      <c r="E11">
        <v>85</v>
      </c>
      <c r="F11" s="2">
        <f t="shared" si="0"/>
        <v>102.35294117647058</v>
      </c>
      <c r="I11" t="s">
        <v>115</v>
      </c>
      <c r="J11">
        <f>MAX(D2:D101)</f>
        <v>100</v>
      </c>
    </row>
    <row r="12" spans="1:10">
      <c r="A12" t="s">
        <v>15</v>
      </c>
      <c r="B12" t="s">
        <v>105</v>
      </c>
      <c r="C12">
        <v>22</v>
      </c>
      <c r="D12">
        <v>78</v>
      </c>
      <c r="E12">
        <v>89</v>
      </c>
      <c r="F12" s="2">
        <f t="shared" si="0"/>
        <v>87.640449438202253</v>
      </c>
      <c r="I12" t="s">
        <v>116</v>
      </c>
      <c r="J12">
        <f>COUNT(D2:D101)</f>
        <v>95</v>
      </c>
    </row>
    <row r="13" spans="1:10">
      <c r="A13" t="s">
        <v>16</v>
      </c>
      <c r="B13" t="s">
        <v>107</v>
      </c>
      <c r="C13">
        <v>20</v>
      </c>
      <c r="D13">
        <v>66</v>
      </c>
      <c r="E13">
        <v>87</v>
      </c>
      <c r="F13" s="2">
        <f t="shared" si="0"/>
        <v>75.862068965517238</v>
      </c>
      <c r="I13" t="s">
        <v>117</v>
      </c>
      <c r="J13">
        <f>COUNTA(A2:A101)</f>
        <v>100</v>
      </c>
    </row>
    <row r="14" spans="1:10">
      <c r="A14" t="s">
        <v>17</v>
      </c>
      <c r="B14" t="s">
        <v>106</v>
      </c>
      <c r="C14">
        <v>29</v>
      </c>
      <c r="D14">
        <v>66</v>
      </c>
      <c r="E14">
        <v>75</v>
      </c>
      <c r="F14" s="2">
        <f t="shared" si="0"/>
        <v>88</v>
      </c>
      <c r="I14" t="s">
        <v>118</v>
      </c>
      <c r="J14">
        <f>COUNTBLANK(D1:D101)</f>
        <v>5</v>
      </c>
    </row>
    <row r="15" spans="1:10">
      <c r="A15" t="s">
        <v>18</v>
      </c>
      <c r="B15" t="s">
        <v>108</v>
      </c>
      <c r="C15">
        <v>25</v>
      </c>
      <c r="D15">
        <v>89</v>
      </c>
      <c r="E15">
        <v>86</v>
      </c>
      <c r="F15" s="2">
        <f t="shared" si="0"/>
        <v>103.48837209302326</v>
      </c>
    </row>
    <row r="16" spans="1:10">
      <c r="A16" t="s">
        <v>19</v>
      </c>
      <c r="B16" t="s">
        <v>105</v>
      </c>
      <c r="C16">
        <v>23</v>
      </c>
      <c r="D16">
        <v>90</v>
      </c>
      <c r="F16" s="2" t="e">
        <f t="shared" si="0"/>
        <v>#DIV/0!</v>
      </c>
    </row>
    <row r="17" spans="1:6">
      <c r="A17" t="s">
        <v>20</v>
      </c>
      <c r="B17" t="s">
        <v>108</v>
      </c>
      <c r="C17">
        <v>28</v>
      </c>
      <c r="D17">
        <v>51</v>
      </c>
      <c r="E17">
        <v>87</v>
      </c>
      <c r="F17" s="2">
        <f t="shared" si="0"/>
        <v>58.620689655172406</v>
      </c>
    </row>
    <row r="18" spans="1:6">
      <c r="A18" t="s">
        <v>21</v>
      </c>
      <c r="B18" t="s">
        <v>105</v>
      </c>
      <c r="C18">
        <v>20</v>
      </c>
      <c r="D18">
        <v>72</v>
      </c>
      <c r="E18">
        <v>57</v>
      </c>
      <c r="F18" s="2">
        <f t="shared" si="0"/>
        <v>126.31578947368421</v>
      </c>
    </row>
    <row r="19" spans="1:6">
      <c r="A19" t="s">
        <v>22</v>
      </c>
      <c r="B19" t="s">
        <v>106</v>
      </c>
      <c r="C19">
        <v>18</v>
      </c>
      <c r="D19">
        <v>58</v>
      </c>
      <c r="E19">
        <v>72</v>
      </c>
      <c r="F19" s="2">
        <f t="shared" si="0"/>
        <v>80.555555555555557</v>
      </c>
    </row>
    <row r="20" spans="1:6">
      <c r="A20" t="s">
        <v>23</v>
      </c>
      <c r="B20" t="s">
        <v>109</v>
      </c>
      <c r="C20">
        <v>20</v>
      </c>
      <c r="D20">
        <v>45</v>
      </c>
      <c r="E20">
        <v>79</v>
      </c>
      <c r="F20" s="2">
        <f t="shared" si="0"/>
        <v>56.962025316455701</v>
      </c>
    </row>
    <row r="21" spans="1:6">
      <c r="A21" t="s">
        <v>24</v>
      </c>
      <c r="B21" t="s">
        <v>105</v>
      </c>
      <c r="C21">
        <v>22</v>
      </c>
      <c r="D21">
        <v>50</v>
      </c>
      <c r="E21">
        <v>96</v>
      </c>
      <c r="F21" s="2">
        <f t="shared" si="0"/>
        <v>52.083333333333336</v>
      </c>
    </row>
    <row r="22" spans="1:6">
      <c r="A22" t="s">
        <v>25</v>
      </c>
      <c r="B22" t="s">
        <v>108</v>
      </c>
      <c r="C22">
        <v>20</v>
      </c>
      <c r="D22">
        <v>93</v>
      </c>
      <c r="E22">
        <v>85</v>
      </c>
      <c r="F22" s="2">
        <f t="shared" si="0"/>
        <v>109.41176470588236</v>
      </c>
    </row>
    <row r="23" spans="1:6">
      <c r="A23" t="s">
        <v>26</v>
      </c>
      <c r="B23" t="s">
        <v>106</v>
      </c>
      <c r="C23">
        <v>18</v>
      </c>
      <c r="D23">
        <v>37</v>
      </c>
      <c r="E23">
        <v>57</v>
      </c>
      <c r="F23" s="2">
        <f t="shared" si="0"/>
        <v>64.912280701754383</v>
      </c>
    </row>
    <row r="24" spans="1:6">
      <c r="A24" t="s">
        <v>27</v>
      </c>
      <c r="B24" t="s">
        <v>105</v>
      </c>
      <c r="C24">
        <v>22</v>
      </c>
      <c r="D24">
        <v>54</v>
      </c>
      <c r="E24">
        <v>94</v>
      </c>
      <c r="F24" s="2">
        <f t="shared" si="0"/>
        <v>57.446808510638306</v>
      </c>
    </row>
    <row r="25" spans="1:6">
      <c r="A25" t="s">
        <v>28</v>
      </c>
      <c r="B25" t="s">
        <v>109</v>
      </c>
      <c r="C25">
        <v>27</v>
      </c>
      <c r="E25">
        <v>100</v>
      </c>
      <c r="F25" s="2">
        <f t="shared" si="0"/>
        <v>0</v>
      </c>
    </row>
    <row r="26" spans="1:6">
      <c r="A26" t="s">
        <v>29</v>
      </c>
      <c r="B26" t="s">
        <v>109</v>
      </c>
      <c r="C26">
        <v>24</v>
      </c>
      <c r="D26">
        <v>70</v>
      </c>
      <c r="E26">
        <v>78</v>
      </c>
      <c r="F26" s="2">
        <f t="shared" si="0"/>
        <v>89.743589743589752</v>
      </c>
    </row>
    <row r="27" spans="1:6">
      <c r="A27" t="s">
        <v>30</v>
      </c>
      <c r="B27" t="s">
        <v>107</v>
      </c>
      <c r="C27">
        <v>24</v>
      </c>
      <c r="D27">
        <v>53</v>
      </c>
      <c r="E27">
        <v>86</v>
      </c>
      <c r="F27" s="2">
        <f t="shared" si="0"/>
        <v>61.627906976744185</v>
      </c>
    </row>
    <row r="28" spans="1:6">
      <c r="A28" t="s">
        <v>31</v>
      </c>
      <c r="B28" t="s">
        <v>107</v>
      </c>
      <c r="C28">
        <v>28</v>
      </c>
      <c r="D28">
        <v>53</v>
      </c>
      <c r="E28">
        <v>76</v>
      </c>
      <c r="F28" s="2">
        <f t="shared" si="0"/>
        <v>69.73684210526315</v>
      </c>
    </row>
    <row r="29" spans="1:6">
      <c r="A29" t="s">
        <v>32</v>
      </c>
      <c r="B29" t="s">
        <v>108</v>
      </c>
      <c r="C29">
        <v>26</v>
      </c>
      <c r="D29">
        <v>54</v>
      </c>
      <c r="E29">
        <v>77</v>
      </c>
      <c r="F29" s="2">
        <f t="shared" si="0"/>
        <v>70.129870129870127</v>
      </c>
    </row>
    <row r="30" spans="1:6">
      <c r="A30" t="s">
        <v>33</v>
      </c>
      <c r="B30" t="s">
        <v>105</v>
      </c>
      <c r="C30">
        <v>27</v>
      </c>
      <c r="D30">
        <v>86</v>
      </c>
      <c r="E30">
        <v>56</v>
      </c>
      <c r="F30" s="2">
        <f t="shared" si="0"/>
        <v>153.57142857142858</v>
      </c>
    </row>
    <row r="31" spans="1:6">
      <c r="A31" t="s">
        <v>34</v>
      </c>
      <c r="B31" t="s">
        <v>105</v>
      </c>
      <c r="C31">
        <v>27</v>
      </c>
      <c r="D31">
        <v>67</v>
      </c>
      <c r="E31">
        <v>81</v>
      </c>
      <c r="F31" s="2">
        <f t="shared" si="0"/>
        <v>82.716049382716051</v>
      </c>
    </row>
    <row r="32" spans="1:6">
      <c r="A32" t="s">
        <v>35</v>
      </c>
      <c r="B32" t="s">
        <v>107</v>
      </c>
      <c r="C32">
        <v>29</v>
      </c>
      <c r="D32">
        <v>74</v>
      </c>
      <c r="E32">
        <v>96</v>
      </c>
      <c r="F32" s="2">
        <f t="shared" si="0"/>
        <v>77.083333333333343</v>
      </c>
    </row>
    <row r="33" spans="1:6">
      <c r="A33" t="s">
        <v>36</v>
      </c>
      <c r="B33" t="s">
        <v>105</v>
      </c>
      <c r="C33">
        <v>30</v>
      </c>
      <c r="D33">
        <v>73</v>
      </c>
      <c r="E33">
        <v>56</v>
      </c>
      <c r="F33" s="2">
        <f t="shared" si="0"/>
        <v>130.35714285714286</v>
      </c>
    </row>
    <row r="34" spans="1:6">
      <c r="A34" t="s">
        <v>37</v>
      </c>
      <c r="B34" t="s">
        <v>105</v>
      </c>
      <c r="C34">
        <v>20</v>
      </c>
      <c r="D34">
        <v>35</v>
      </c>
      <c r="E34">
        <v>80</v>
      </c>
      <c r="F34" s="2">
        <f t="shared" si="0"/>
        <v>43.75</v>
      </c>
    </row>
    <row r="35" spans="1:6">
      <c r="A35" t="s">
        <v>38</v>
      </c>
      <c r="B35" t="s">
        <v>109</v>
      </c>
      <c r="C35">
        <v>24</v>
      </c>
      <c r="D35">
        <v>45</v>
      </c>
      <c r="E35">
        <v>71</v>
      </c>
      <c r="F35" s="2">
        <f t="shared" si="0"/>
        <v>63.380281690140848</v>
      </c>
    </row>
    <row r="36" spans="1:6">
      <c r="A36" t="s">
        <v>39</v>
      </c>
      <c r="B36" t="s">
        <v>107</v>
      </c>
      <c r="C36">
        <v>18</v>
      </c>
      <c r="D36">
        <v>91</v>
      </c>
      <c r="E36">
        <v>94</v>
      </c>
      <c r="F36" s="2">
        <f t="shared" si="0"/>
        <v>96.808510638297875</v>
      </c>
    </row>
    <row r="37" spans="1:6">
      <c r="A37" t="s">
        <v>40</v>
      </c>
      <c r="B37" t="s">
        <v>106</v>
      </c>
      <c r="C37">
        <v>21</v>
      </c>
      <c r="D37">
        <v>84</v>
      </c>
      <c r="E37">
        <v>87</v>
      </c>
      <c r="F37" s="2">
        <f t="shared" si="0"/>
        <v>96.551724137931032</v>
      </c>
    </row>
    <row r="38" spans="1:6">
      <c r="A38" t="s">
        <v>41</v>
      </c>
      <c r="B38" t="s">
        <v>107</v>
      </c>
      <c r="C38">
        <v>30</v>
      </c>
      <c r="D38">
        <v>57</v>
      </c>
      <c r="E38">
        <v>63</v>
      </c>
      <c r="F38" s="2">
        <f t="shared" si="0"/>
        <v>90.476190476190482</v>
      </c>
    </row>
    <row r="39" spans="1:6">
      <c r="A39" t="s">
        <v>42</v>
      </c>
      <c r="B39" t="s">
        <v>106</v>
      </c>
      <c r="C39">
        <v>21</v>
      </c>
      <c r="D39">
        <v>65</v>
      </c>
      <c r="E39">
        <v>97</v>
      </c>
      <c r="F39" s="2">
        <f t="shared" si="0"/>
        <v>67.010309278350505</v>
      </c>
    </row>
    <row r="40" spans="1:6">
      <c r="A40" t="s">
        <v>43</v>
      </c>
      <c r="B40" t="s">
        <v>109</v>
      </c>
      <c r="C40">
        <v>22</v>
      </c>
      <c r="D40">
        <v>76</v>
      </c>
      <c r="F40" s="2" t="e">
        <f t="shared" si="0"/>
        <v>#DIV/0!</v>
      </c>
    </row>
    <row r="41" spans="1:6">
      <c r="A41" t="s">
        <v>44</v>
      </c>
      <c r="B41" t="s">
        <v>108</v>
      </c>
      <c r="C41">
        <v>24</v>
      </c>
      <c r="D41">
        <v>41</v>
      </c>
      <c r="E41">
        <v>83</v>
      </c>
      <c r="F41" s="2">
        <f t="shared" si="0"/>
        <v>49.397590361445779</v>
      </c>
    </row>
    <row r="42" spans="1:6">
      <c r="A42" t="s">
        <v>45</v>
      </c>
      <c r="B42" t="s">
        <v>105</v>
      </c>
      <c r="C42">
        <v>24</v>
      </c>
      <c r="D42">
        <v>50</v>
      </c>
      <c r="E42">
        <v>96</v>
      </c>
      <c r="F42" s="2">
        <f t="shared" si="0"/>
        <v>52.083333333333336</v>
      </c>
    </row>
    <row r="43" spans="1:6">
      <c r="A43" t="s">
        <v>46</v>
      </c>
      <c r="B43" t="s">
        <v>109</v>
      </c>
      <c r="C43">
        <v>30</v>
      </c>
      <c r="D43">
        <v>94</v>
      </c>
      <c r="E43">
        <v>80</v>
      </c>
      <c r="F43" s="2">
        <f t="shared" si="0"/>
        <v>117.5</v>
      </c>
    </row>
    <row r="44" spans="1:6">
      <c r="A44" t="s">
        <v>47</v>
      </c>
      <c r="B44" t="s">
        <v>105</v>
      </c>
      <c r="C44">
        <v>28</v>
      </c>
      <c r="D44">
        <v>36</v>
      </c>
      <c r="E44">
        <v>89</v>
      </c>
      <c r="F44" s="2">
        <f t="shared" si="0"/>
        <v>40.449438202247187</v>
      </c>
    </row>
    <row r="45" spans="1:6">
      <c r="A45" t="s">
        <v>48</v>
      </c>
      <c r="B45" t="s">
        <v>108</v>
      </c>
      <c r="C45">
        <v>30</v>
      </c>
      <c r="D45">
        <v>35</v>
      </c>
      <c r="E45">
        <v>79</v>
      </c>
      <c r="F45" s="2">
        <f t="shared" si="0"/>
        <v>44.303797468354425</v>
      </c>
    </row>
    <row r="46" spans="1:6">
      <c r="A46" t="s">
        <v>49</v>
      </c>
      <c r="B46" t="s">
        <v>108</v>
      </c>
      <c r="C46">
        <v>21</v>
      </c>
      <c r="D46">
        <v>82</v>
      </c>
      <c r="E46">
        <v>78</v>
      </c>
      <c r="F46" s="2">
        <f t="shared" si="0"/>
        <v>105.12820512820514</v>
      </c>
    </row>
    <row r="47" spans="1:6">
      <c r="A47" t="s">
        <v>50</v>
      </c>
      <c r="B47" t="s">
        <v>109</v>
      </c>
      <c r="C47">
        <v>30</v>
      </c>
      <c r="D47">
        <v>46</v>
      </c>
      <c r="E47">
        <v>67</v>
      </c>
      <c r="F47" s="2">
        <f t="shared" si="0"/>
        <v>68.656716417910445</v>
      </c>
    </row>
    <row r="48" spans="1:6">
      <c r="A48" t="s">
        <v>51</v>
      </c>
      <c r="B48" t="s">
        <v>108</v>
      </c>
      <c r="C48">
        <v>24</v>
      </c>
      <c r="D48">
        <v>71</v>
      </c>
      <c r="E48">
        <v>61</v>
      </c>
      <c r="F48" s="2">
        <f t="shared" si="0"/>
        <v>116.39344262295081</v>
      </c>
    </row>
    <row r="49" spans="1:6">
      <c r="A49" t="s">
        <v>52</v>
      </c>
      <c r="B49" t="s">
        <v>106</v>
      </c>
      <c r="C49">
        <v>28</v>
      </c>
      <c r="D49">
        <v>66</v>
      </c>
      <c r="E49">
        <v>90</v>
      </c>
      <c r="F49" s="2">
        <f t="shared" si="0"/>
        <v>73.333333333333329</v>
      </c>
    </row>
    <row r="50" spans="1:6">
      <c r="A50" t="s">
        <v>53</v>
      </c>
      <c r="B50" t="s">
        <v>108</v>
      </c>
      <c r="C50">
        <v>20</v>
      </c>
      <c r="D50">
        <v>43</v>
      </c>
      <c r="E50">
        <v>99</v>
      </c>
      <c r="F50" s="2">
        <f t="shared" si="0"/>
        <v>43.43434343434344</v>
      </c>
    </row>
    <row r="51" spans="1:6">
      <c r="A51" t="s">
        <v>54</v>
      </c>
      <c r="B51" t="s">
        <v>105</v>
      </c>
      <c r="C51">
        <v>23</v>
      </c>
      <c r="D51">
        <v>53</v>
      </c>
      <c r="E51">
        <v>74</v>
      </c>
      <c r="F51" s="2">
        <f t="shared" si="0"/>
        <v>71.621621621621628</v>
      </c>
    </row>
    <row r="52" spans="1:6">
      <c r="A52" t="s">
        <v>55</v>
      </c>
      <c r="B52" t="s">
        <v>105</v>
      </c>
      <c r="C52">
        <v>29</v>
      </c>
      <c r="D52">
        <v>82</v>
      </c>
      <c r="E52">
        <v>55</v>
      </c>
      <c r="F52" s="2">
        <f t="shared" si="0"/>
        <v>149.09090909090909</v>
      </c>
    </row>
    <row r="53" spans="1:6">
      <c r="A53" t="s">
        <v>56</v>
      </c>
      <c r="B53" t="s">
        <v>105</v>
      </c>
      <c r="C53">
        <v>19</v>
      </c>
      <c r="D53">
        <v>37</v>
      </c>
      <c r="E53">
        <v>62</v>
      </c>
      <c r="F53" s="2">
        <f t="shared" si="0"/>
        <v>59.677419354838712</v>
      </c>
    </row>
    <row r="54" spans="1:6">
      <c r="A54" t="s">
        <v>57</v>
      </c>
      <c r="B54" t="s">
        <v>105</v>
      </c>
      <c r="C54">
        <v>27</v>
      </c>
      <c r="D54">
        <v>54</v>
      </c>
      <c r="E54">
        <v>100</v>
      </c>
      <c r="F54" s="2">
        <f t="shared" si="0"/>
        <v>54</v>
      </c>
    </row>
    <row r="55" spans="1:6">
      <c r="A55" t="s">
        <v>58</v>
      </c>
      <c r="B55" t="s">
        <v>106</v>
      </c>
      <c r="C55">
        <v>30</v>
      </c>
      <c r="D55">
        <v>58</v>
      </c>
      <c r="E55">
        <v>70</v>
      </c>
      <c r="F55" s="2">
        <f t="shared" si="0"/>
        <v>82.857142857142861</v>
      </c>
    </row>
    <row r="56" spans="1:6">
      <c r="A56" t="s">
        <v>59</v>
      </c>
      <c r="B56" t="s">
        <v>107</v>
      </c>
      <c r="C56">
        <v>26</v>
      </c>
      <c r="D56">
        <v>88</v>
      </c>
      <c r="E56">
        <v>68</v>
      </c>
      <c r="F56" s="2">
        <f t="shared" si="0"/>
        <v>129.41176470588235</v>
      </c>
    </row>
    <row r="57" spans="1:6">
      <c r="A57" t="s">
        <v>60</v>
      </c>
      <c r="B57" t="s">
        <v>109</v>
      </c>
      <c r="C57">
        <v>22</v>
      </c>
      <c r="D57">
        <v>67</v>
      </c>
      <c r="E57">
        <v>66</v>
      </c>
      <c r="F57" s="2">
        <f t="shared" si="0"/>
        <v>101.51515151515152</v>
      </c>
    </row>
    <row r="58" spans="1:6">
      <c r="A58" t="s">
        <v>61</v>
      </c>
      <c r="B58" t="s">
        <v>105</v>
      </c>
      <c r="C58">
        <v>23</v>
      </c>
      <c r="E58">
        <v>77</v>
      </c>
      <c r="F58" s="2">
        <f t="shared" si="0"/>
        <v>0</v>
      </c>
    </row>
    <row r="59" spans="1:6">
      <c r="A59" t="s">
        <v>62</v>
      </c>
      <c r="B59" t="s">
        <v>108</v>
      </c>
      <c r="C59">
        <v>29</v>
      </c>
      <c r="D59">
        <v>70</v>
      </c>
      <c r="E59">
        <v>69</v>
      </c>
      <c r="F59" s="2">
        <f t="shared" si="0"/>
        <v>101.44927536231884</v>
      </c>
    </row>
    <row r="60" spans="1:6">
      <c r="A60" t="s">
        <v>63</v>
      </c>
      <c r="B60" t="s">
        <v>105</v>
      </c>
      <c r="C60">
        <v>29</v>
      </c>
      <c r="D60">
        <v>72</v>
      </c>
      <c r="E60">
        <v>82</v>
      </c>
      <c r="F60" s="2">
        <f t="shared" si="0"/>
        <v>87.804878048780495</v>
      </c>
    </row>
    <row r="61" spans="1:6">
      <c r="A61" t="s">
        <v>64</v>
      </c>
      <c r="B61" t="s">
        <v>108</v>
      </c>
      <c r="C61">
        <v>29</v>
      </c>
      <c r="D61">
        <v>59</v>
      </c>
      <c r="E61">
        <v>88</v>
      </c>
      <c r="F61" s="2">
        <f t="shared" si="0"/>
        <v>67.045454545454547</v>
      </c>
    </row>
    <row r="62" spans="1:6">
      <c r="A62" t="s">
        <v>65</v>
      </c>
      <c r="B62" t="s">
        <v>108</v>
      </c>
      <c r="C62">
        <v>29</v>
      </c>
      <c r="D62">
        <v>52</v>
      </c>
      <c r="E62">
        <v>56</v>
      </c>
      <c r="F62" s="2">
        <f t="shared" si="0"/>
        <v>92.857142857142861</v>
      </c>
    </row>
    <row r="63" spans="1:6">
      <c r="A63" t="s">
        <v>66</v>
      </c>
      <c r="B63" t="s">
        <v>105</v>
      </c>
      <c r="C63">
        <v>21</v>
      </c>
      <c r="D63">
        <v>100</v>
      </c>
      <c r="E63">
        <v>86</v>
      </c>
      <c r="F63" s="2">
        <f t="shared" si="0"/>
        <v>116.27906976744187</v>
      </c>
    </row>
    <row r="64" spans="1:6">
      <c r="A64" t="s">
        <v>67</v>
      </c>
      <c r="B64" t="s">
        <v>106</v>
      </c>
      <c r="C64">
        <v>28</v>
      </c>
      <c r="D64">
        <v>88</v>
      </c>
      <c r="F64" s="2" t="e">
        <f t="shared" si="0"/>
        <v>#DIV/0!</v>
      </c>
    </row>
    <row r="65" spans="1:6">
      <c r="A65" t="s">
        <v>68</v>
      </c>
      <c r="B65" t="s">
        <v>108</v>
      </c>
      <c r="C65">
        <v>27</v>
      </c>
      <c r="D65">
        <v>69</v>
      </c>
      <c r="E65">
        <v>76</v>
      </c>
      <c r="F65" s="2">
        <f t="shared" si="0"/>
        <v>90.789473684210535</v>
      </c>
    </row>
    <row r="66" spans="1:6">
      <c r="A66" t="s">
        <v>69</v>
      </c>
      <c r="B66" t="s">
        <v>108</v>
      </c>
      <c r="C66">
        <v>24</v>
      </c>
      <c r="D66">
        <v>95</v>
      </c>
      <c r="E66">
        <v>79</v>
      </c>
      <c r="F66" s="2">
        <f t="shared" si="0"/>
        <v>120.25316455696202</v>
      </c>
    </row>
    <row r="67" spans="1:6">
      <c r="A67" t="s">
        <v>70</v>
      </c>
      <c r="B67" t="s">
        <v>105</v>
      </c>
      <c r="C67">
        <v>29</v>
      </c>
      <c r="D67">
        <v>75</v>
      </c>
      <c r="E67">
        <v>76</v>
      </c>
      <c r="F67" s="2">
        <f t="shared" ref="F67:F101" si="1">(D67/E67)*100</f>
        <v>98.68421052631578</v>
      </c>
    </row>
    <row r="68" spans="1:6">
      <c r="A68" t="s">
        <v>71</v>
      </c>
      <c r="B68" t="s">
        <v>108</v>
      </c>
      <c r="C68">
        <v>26</v>
      </c>
      <c r="D68">
        <v>67</v>
      </c>
      <c r="E68">
        <v>76</v>
      </c>
      <c r="F68" s="2">
        <f t="shared" si="1"/>
        <v>88.157894736842096</v>
      </c>
    </row>
    <row r="69" spans="1:6">
      <c r="A69" t="s">
        <v>72</v>
      </c>
      <c r="B69" t="s">
        <v>108</v>
      </c>
      <c r="C69">
        <v>24</v>
      </c>
      <c r="D69">
        <v>67</v>
      </c>
      <c r="E69">
        <v>96</v>
      </c>
      <c r="F69" s="2">
        <f t="shared" si="1"/>
        <v>69.791666666666657</v>
      </c>
    </row>
    <row r="70" spans="1:6">
      <c r="A70" t="s">
        <v>73</v>
      </c>
      <c r="B70" t="s">
        <v>105</v>
      </c>
      <c r="C70">
        <v>18</v>
      </c>
      <c r="D70">
        <v>48</v>
      </c>
      <c r="E70">
        <v>60</v>
      </c>
      <c r="F70" s="2">
        <f t="shared" si="1"/>
        <v>80</v>
      </c>
    </row>
    <row r="71" spans="1:6">
      <c r="A71" t="s">
        <v>74</v>
      </c>
      <c r="B71" t="s">
        <v>105</v>
      </c>
      <c r="C71">
        <v>18</v>
      </c>
      <c r="D71">
        <v>55</v>
      </c>
      <c r="E71">
        <v>69</v>
      </c>
      <c r="F71" s="2">
        <f t="shared" si="1"/>
        <v>79.710144927536234</v>
      </c>
    </row>
    <row r="72" spans="1:6">
      <c r="A72" t="s">
        <v>75</v>
      </c>
      <c r="B72" t="s">
        <v>109</v>
      </c>
      <c r="C72">
        <v>26</v>
      </c>
      <c r="D72">
        <v>82</v>
      </c>
      <c r="E72">
        <v>97</v>
      </c>
      <c r="F72" s="2">
        <f t="shared" si="1"/>
        <v>84.536082474226802</v>
      </c>
    </row>
    <row r="73" spans="1:6">
      <c r="A73" t="s">
        <v>76</v>
      </c>
      <c r="B73" t="s">
        <v>106</v>
      </c>
      <c r="C73">
        <v>28</v>
      </c>
      <c r="D73">
        <v>54</v>
      </c>
      <c r="E73">
        <v>91</v>
      </c>
      <c r="F73" s="2">
        <f t="shared" si="1"/>
        <v>59.340659340659343</v>
      </c>
    </row>
    <row r="74" spans="1:6">
      <c r="A74" t="s">
        <v>77</v>
      </c>
      <c r="B74" t="s">
        <v>106</v>
      </c>
      <c r="C74">
        <v>26</v>
      </c>
      <c r="D74">
        <v>42</v>
      </c>
      <c r="E74">
        <v>87</v>
      </c>
      <c r="F74" s="2">
        <f t="shared" si="1"/>
        <v>48.275862068965516</v>
      </c>
    </row>
    <row r="75" spans="1:6">
      <c r="A75" t="s">
        <v>78</v>
      </c>
      <c r="B75" t="s">
        <v>108</v>
      </c>
      <c r="C75">
        <v>21</v>
      </c>
      <c r="D75">
        <v>41</v>
      </c>
      <c r="E75">
        <v>62</v>
      </c>
      <c r="F75" s="2">
        <f t="shared" si="1"/>
        <v>66.129032258064512</v>
      </c>
    </row>
    <row r="76" spans="1:6">
      <c r="A76" t="s">
        <v>79</v>
      </c>
      <c r="B76" t="s">
        <v>106</v>
      </c>
      <c r="C76">
        <v>30</v>
      </c>
      <c r="D76">
        <v>51</v>
      </c>
      <c r="E76">
        <v>98</v>
      </c>
      <c r="F76" s="2">
        <f t="shared" si="1"/>
        <v>52.040816326530617</v>
      </c>
    </row>
    <row r="77" spans="1:6">
      <c r="A77" t="s">
        <v>80</v>
      </c>
      <c r="B77" t="s">
        <v>108</v>
      </c>
      <c r="C77">
        <v>26</v>
      </c>
      <c r="D77">
        <v>67</v>
      </c>
      <c r="F77" s="2" t="e">
        <f t="shared" si="1"/>
        <v>#DIV/0!</v>
      </c>
    </row>
    <row r="78" spans="1:6">
      <c r="A78" t="s">
        <v>81</v>
      </c>
      <c r="B78" t="s">
        <v>109</v>
      </c>
      <c r="C78">
        <v>20</v>
      </c>
      <c r="D78">
        <v>82</v>
      </c>
      <c r="E78">
        <v>59</v>
      </c>
      <c r="F78" s="2">
        <f t="shared" si="1"/>
        <v>138.98305084745763</v>
      </c>
    </row>
    <row r="79" spans="1:6">
      <c r="A79" t="s">
        <v>82</v>
      </c>
      <c r="B79" t="s">
        <v>105</v>
      </c>
      <c r="C79">
        <v>24</v>
      </c>
      <c r="D79">
        <v>93</v>
      </c>
      <c r="E79">
        <v>93</v>
      </c>
      <c r="F79" s="2">
        <f t="shared" si="1"/>
        <v>100</v>
      </c>
    </row>
    <row r="80" spans="1:6">
      <c r="A80" t="s">
        <v>83</v>
      </c>
      <c r="B80" t="s">
        <v>105</v>
      </c>
      <c r="C80">
        <v>23</v>
      </c>
      <c r="D80">
        <v>56</v>
      </c>
      <c r="E80">
        <v>58</v>
      </c>
      <c r="F80" s="2">
        <f t="shared" si="1"/>
        <v>96.551724137931032</v>
      </c>
    </row>
    <row r="81" spans="1:6">
      <c r="A81" t="s">
        <v>84</v>
      </c>
      <c r="B81" t="s">
        <v>105</v>
      </c>
      <c r="C81">
        <v>25</v>
      </c>
      <c r="D81">
        <v>64</v>
      </c>
      <c r="E81">
        <v>60</v>
      </c>
      <c r="F81" s="2">
        <f t="shared" si="1"/>
        <v>106.66666666666667</v>
      </c>
    </row>
    <row r="82" spans="1:6">
      <c r="A82" t="s">
        <v>85</v>
      </c>
      <c r="B82" t="s">
        <v>106</v>
      </c>
      <c r="C82">
        <v>28</v>
      </c>
      <c r="D82">
        <v>72</v>
      </c>
      <c r="E82">
        <v>99</v>
      </c>
      <c r="F82" s="2">
        <f t="shared" si="1"/>
        <v>72.727272727272734</v>
      </c>
    </row>
    <row r="83" spans="1:6">
      <c r="A83" t="s">
        <v>86</v>
      </c>
      <c r="B83" t="s">
        <v>109</v>
      </c>
      <c r="C83">
        <v>26</v>
      </c>
      <c r="E83">
        <v>86</v>
      </c>
      <c r="F83" s="2">
        <f t="shared" si="1"/>
        <v>0</v>
      </c>
    </row>
    <row r="84" spans="1:6">
      <c r="A84" t="s">
        <v>87</v>
      </c>
      <c r="B84" t="s">
        <v>106</v>
      </c>
      <c r="C84">
        <v>22</v>
      </c>
      <c r="D84">
        <v>88</v>
      </c>
      <c r="E84">
        <v>84</v>
      </c>
      <c r="F84" s="2">
        <f t="shared" si="1"/>
        <v>104.76190476190477</v>
      </c>
    </row>
    <row r="85" spans="1:6">
      <c r="A85" t="s">
        <v>88</v>
      </c>
      <c r="B85" t="s">
        <v>106</v>
      </c>
      <c r="C85">
        <v>18</v>
      </c>
      <c r="D85">
        <v>42</v>
      </c>
      <c r="E85">
        <v>89</v>
      </c>
      <c r="F85" s="2">
        <f t="shared" si="1"/>
        <v>47.191011235955052</v>
      </c>
    </row>
    <row r="86" spans="1:6">
      <c r="A86" t="s">
        <v>89</v>
      </c>
      <c r="B86" t="s">
        <v>109</v>
      </c>
      <c r="C86">
        <v>20</v>
      </c>
      <c r="D86">
        <v>61</v>
      </c>
      <c r="E86">
        <v>94</v>
      </c>
      <c r="F86" s="2">
        <f t="shared" si="1"/>
        <v>64.893617021276597</v>
      </c>
    </row>
    <row r="87" spans="1:6">
      <c r="A87" t="s">
        <v>90</v>
      </c>
      <c r="B87" t="s">
        <v>109</v>
      </c>
      <c r="C87">
        <v>27</v>
      </c>
      <c r="D87">
        <v>61</v>
      </c>
      <c r="E87">
        <v>70</v>
      </c>
      <c r="F87" s="2">
        <f t="shared" si="1"/>
        <v>87.142857142857139</v>
      </c>
    </row>
    <row r="88" spans="1:6">
      <c r="A88" t="s">
        <v>91</v>
      </c>
      <c r="B88" t="s">
        <v>109</v>
      </c>
      <c r="C88">
        <v>29</v>
      </c>
      <c r="D88">
        <v>55</v>
      </c>
      <c r="E88">
        <v>67</v>
      </c>
      <c r="F88" s="2">
        <f t="shared" si="1"/>
        <v>82.089552238805979</v>
      </c>
    </row>
    <row r="89" spans="1:6">
      <c r="A89" t="s">
        <v>92</v>
      </c>
      <c r="B89" t="s">
        <v>109</v>
      </c>
      <c r="C89">
        <v>25</v>
      </c>
      <c r="D89">
        <v>64</v>
      </c>
      <c r="E89">
        <v>96</v>
      </c>
      <c r="F89" s="2">
        <f t="shared" si="1"/>
        <v>66.666666666666657</v>
      </c>
    </row>
    <row r="90" spans="1:6">
      <c r="A90" t="s">
        <v>93</v>
      </c>
      <c r="B90" t="s">
        <v>105</v>
      </c>
      <c r="C90">
        <v>28</v>
      </c>
      <c r="D90">
        <v>62</v>
      </c>
      <c r="E90">
        <v>84</v>
      </c>
      <c r="F90" s="2">
        <f t="shared" si="1"/>
        <v>73.80952380952381</v>
      </c>
    </row>
    <row r="91" spans="1:6">
      <c r="A91" t="s">
        <v>94</v>
      </c>
      <c r="B91" t="s">
        <v>107</v>
      </c>
      <c r="C91">
        <v>23</v>
      </c>
      <c r="D91">
        <v>98</v>
      </c>
      <c r="F91" s="2" t="e">
        <f t="shared" si="1"/>
        <v>#DIV/0!</v>
      </c>
    </row>
    <row r="92" spans="1:6">
      <c r="A92" t="s">
        <v>95</v>
      </c>
      <c r="B92" t="s">
        <v>107</v>
      </c>
      <c r="C92">
        <v>25</v>
      </c>
      <c r="D92">
        <v>95</v>
      </c>
      <c r="E92">
        <v>71</v>
      </c>
      <c r="F92" s="2">
        <f t="shared" si="1"/>
        <v>133.80281690140845</v>
      </c>
    </row>
    <row r="93" spans="1:6">
      <c r="A93" t="s">
        <v>96</v>
      </c>
      <c r="B93" t="s">
        <v>109</v>
      </c>
      <c r="C93">
        <v>26</v>
      </c>
      <c r="D93">
        <v>82</v>
      </c>
      <c r="E93">
        <v>73</v>
      </c>
      <c r="F93" s="2">
        <f t="shared" si="1"/>
        <v>112.32876712328768</v>
      </c>
    </row>
    <row r="94" spans="1:6">
      <c r="A94" t="s">
        <v>97</v>
      </c>
      <c r="B94" t="s">
        <v>107</v>
      </c>
      <c r="C94">
        <v>21</v>
      </c>
      <c r="D94">
        <v>53</v>
      </c>
      <c r="E94">
        <v>82</v>
      </c>
      <c r="F94" s="2">
        <f t="shared" si="1"/>
        <v>64.634146341463421</v>
      </c>
    </row>
    <row r="95" spans="1:6">
      <c r="A95" t="s">
        <v>98</v>
      </c>
      <c r="B95" t="s">
        <v>107</v>
      </c>
      <c r="C95">
        <v>18</v>
      </c>
      <c r="D95">
        <v>38</v>
      </c>
      <c r="E95">
        <v>80</v>
      </c>
      <c r="F95" s="2">
        <f t="shared" si="1"/>
        <v>47.5</v>
      </c>
    </row>
    <row r="96" spans="1:6">
      <c r="A96" t="s">
        <v>99</v>
      </c>
      <c r="B96" t="s">
        <v>109</v>
      </c>
      <c r="C96">
        <v>18</v>
      </c>
      <c r="E96">
        <v>91</v>
      </c>
      <c r="F96" s="2">
        <f t="shared" si="1"/>
        <v>0</v>
      </c>
    </row>
    <row r="97" spans="1:6">
      <c r="A97" t="s">
        <v>100</v>
      </c>
      <c r="B97" t="s">
        <v>107</v>
      </c>
      <c r="C97">
        <v>27</v>
      </c>
      <c r="D97">
        <v>98</v>
      </c>
      <c r="E97">
        <v>80</v>
      </c>
      <c r="F97" s="2">
        <f t="shared" si="1"/>
        <v>122.50000000000001</v>
      </c>
    </row>
    <row r="98" spans="1:6">
      <c r="A98" t="s">
        <v>101</v>
      </c>
      <c r="B98" t="s">
        <v>106</v>
      </c>
      <c r="C98">
        <v>21</v>
      </c>
      <c r="D98">
        <v>83</v>
      </c>
      <c r="E98">
        <v>77</v>
      </c>
      <c r="F98" s="2">
        <f t="shared" si="1"/>
        <v>107.79220779220779</v>
      </c>
    </row>
    <row r="99" spans="1:6">
      <c r="A99" t="s">
        <v>102</v>
      </c>
      <c r="B99" t="s">
        <v>108</v>
      </c>
      <c r="C99">
        <v>29</v>
      </c>
      <c r="D99">
        <v>51</v>
      </c>
      <c r="E99">
        <v>63</v>
      </c>
      <c r="F99" s="2">
        <f t="shared" si="1"/>
        <v>80.952380952380949</v>
      </c>
    </row>
    <row r="100" spans="1:6">
      <c r="A100" t="s">
        <v>103</v>
      </c>
      <c r="B100" t="s">
        <v>108</v>
      </c>
      <c r="C100">
        <v>24</v>
      </c>
      <c r="D100">
        <v>78</v>
      </c>
      <c r="E100">
        <v>66</v>
      </c>
      <c r="F100" s="2">
        <f t="shared" si="1"/>
        <v>118.18181818181819</v>
      </c>
    </row>
    <row r="101" spans="1:6">
      <c r="A101" t="s">
        <v>104</v>
      </c>
      <c r="B101" t="s">
        <v>109</v>
      </c>
      <c r="C101">
        <v>19</v>
      </c>
      <c r="D101">
        <v>64</v>
      </c>
      <c r="E101">
        <v>55</v>
      </c>
      <c r="F101" s="2">
        <f t="shared" si="1"/>
        <v>116.36363636363636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 Data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2026-08-18T13:42:01Z</dcterms:created>
  <dcterms:modified xsi:type="dcterms:W3CDTF">2026-08-21T19:15:13Z</dcterms:modified>
</cp:coreProperties>
</file>